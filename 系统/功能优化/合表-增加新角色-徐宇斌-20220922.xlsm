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吸血鬼\系统\功能优化\"/>
    </mc:Choice>
  </mc:AlternateContent>
  <xr:revisionPtr revIDLastSave="0" documentId="13_ncr:1_{E3159A7E-FE05-444C-994E-15D4100E864D}" xr6:coauthVersionLast="47" xr6:coauthVersionMax="47" xr10:uidLastSave="{00000000-0000-0000-0000-000000000000}"/>
  <bookViews>
    <workbookView xWindow="-28920" yWindow="-120" windowWidth="29040" windowHeight="15840" tabRatio="654" xr2:uid="{00000000-000D-0000-FFFF-FFFF00000000}"/>
  </bookViews>
  <sheets>
    <sheet name="$备注" sheetId="1" r:id="rId1"/>
    <sheet name="HeroBase" sheetId="8" r:id="rId2"/>
    <sheet name="Translate" sheetId="9" r:id="rId3"/>
    <sheet name="ItemConfig" sheetId="10" r:id="rId4"/>
    <sheet name="HeroAttrConfig" sheetId="11" r:id="rId5"/>
    <sheet name="SurfaceConfig" sheetId="12" r:id="rId6"/>
    <sheet name="HeroAwaken" sheetId="13" r:id="rId7"/>
    <sheet name="RoleModel" sheetId="14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70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A1" authorId="0" shapeId="0" xr:uid="{5CC8C739-F665-46FB-89AF-FAF6E3C3BFD2}">
      <text>
        <r>
          <rPr>
            <sz val="9"/>
            <color indexed="81"/>
            <rFont val="宋体"/>
            <family val="3"/>
            <charset val="134"/>
          </rPr>
          <t xml:space="preserve">PRIMARY: YHMing, deleted by 徐宇斌, on 2022/6/23, 11:30:45;
Column: RoleModel, deleted by 徐宇斌, on 2022/8/30, 18:35:41;
</t>
        </r>
      </text>
    </comment>
    <comment ref="V1" authorId="0" shapeId="0" xr:uid="{81972DF0-C586-452B-B8EE-1901B477009D}">
      <text>
        <r>
          <rPr>
            <sz val="9"/>
            <color indexed="81"/>
            <rFont val="宋体"/>
            <family val="3"/>
            <charset val="134"/>
          </rPr>
          <t xml:space="preserve">2 Time(s);
Column Modified by 徐宇斌, on 2022/7/28, 14:37:20;
Column Modified by 徐宇斌, on 2022/7/28, 14:38:23;
</t>
        </r>
      </text>
    </comment>
    <comment ref="AC1" authorId="0" shapeId="0" xr:uid="{FF1B4173-4B25-449B-BB01-502533EFBEE7}">
      <text>
        <r>
          <rPr>
            <sz val="9"/>
            <color indexed="81"/>
            <rFont val="宋体"/>
            <family val="3"/>
            <charset val="134"/>
          </rPr>
          <t xml:space="preserve">1 Time(s);
Column Modified by 徐宇斌, on 2022/8/30, 18:35:41;
</t>
        </r>
      </text>
    </comment>
    <comment ref="AH1" authorId="0" shapeId="0" xr:uid="{694119A7-4B66-4012-9533-A463C43A9002}">
      <text>
        <r>
          <rPr>
            <sz val="9"/>
            <rFont val="宋体"/>
            <family val="3"/>
            <charset val="134"/>
          </rPr>
          <t xml:space="preserve">1 Time(s);
Column Modified by 周家靖, on 2022/1/27, 16:53:06;
</t>
        </r>
      </text>
    </comment>
    <comment ref="B2" authorId="0" shapeId="0" xr:uid="{BD37835E-9059-4F11-BE8C-113C786D56C0}">
      <text>
        <r>
          <rPr>
            <b/>
            <sz val="9"/>
            <color indexed="81"/>
            <rFont val="宋体"/>
            <family val="3"/>
            <charset val="134"/>
          </rPr>
          <t xml:space="preserve">作者:
作用：
</t>
        </r>
        <r>
          <rPr>
            <sz val="9"/>
            <color indexed="81"/>
            <rFont val="宋体"/>
            <family val="3"/>
            <charset val="134"/>
          </rPr>
          <t xml:space="preserve">角色ID
</t>
        </r>
        <r>
          <rPr>
            <b/>
            <sz val="9"/>
            <color indexed="81"/>
            <rFont val="宋体"/>
            <family val="3"/>
            <charset val="134"/>
          </rPr>
          <t>配置方式</t>
        </r>
        <r>
          <rPr>
            <sz val="9"/>
            <color indexed="81"/>
            <rFont val="宋体"/>
            <family val="3"/>
            <charset val="134"/>
          </rPr>
          <t>：
角色中文名，除最后一个字外，其他用首字母大写，最后一个字全拼、首字母大写。如：东文真希：DWZXi</t>
        </r>
      </text>
    </comment>
    <comment ref="C2" authorId="0" shapeId="0" xr:uid="{7882ACE9-A537-401B-997E-110A96F48019}">
      <text>
        <r>
          <rPr>
            <b/>
            <sz val="9"/>
            <color indexed="81"/>
            <rFont val="宋体"/>
            <family val="3"/>
            <charset val="134"/>
          </rPr>
          <t xml:space="preserve">作者:
作用：
</t>
        </r>
        <r>
          <rPr>
            <sz val="9"/>
            <color indexed="81"/>
            <rFont val="宋体"/>
            <family val="3"/>
            <charset val="134"/>
          </rPr>
          <t xml:space="preserve">角色名称ID
</t>
        </r>
        <r>
          <rPr>
            <b/>
            <sz val="9"/>
            <color indexed="81"/>
            <rFont val="宋体"/>
            <family val="3"/>
            <charset val="134"/>
          </rPr>
          <t xml:space="preserve">配置方式：
</t>
        </r>
        <r>
          <rPr>
            <sz val="9"/>
            <color indexed="81"/>
            <rFont val="宋体"/>
            <family val="3"/>
            <charset val="134"/>
          </rPr>
          <t>角色ID_Name</t>
        </r>
      </text>
    </comment>
    <comment ref="E2" authorId="0" shapeId="0" xr:uid="{1D0CE9C4-4979-4C58-9DEC-A177BF181FDC}">
      <text>
        <r>
          <rPr>
            <b/>
            <sz val="9"/>
            <rFont val="宋体"/>
            <family val="3"/>
            <charset val="134"/>
          </rPr>
          <t>徐宇斌：
作用：</t>
        </r>
        <r>
          <rPr>
            <sz val="9"/>
            <rFont val="宋体"/>
            <family val="3"/>
            <charset val="134"/>
          </rPr>
          <t xml:space="preserve">
用于判断角色是否可在游戏中显示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rFont val="宋体"/>
            <family val="3"/>
            <charset val="134"/>
          </rPr>
          <t xml:space="preserve">
0:不显示
1：显示</t>
        </r>
      </text>
    </comment>
    <comment ref="F2" authorId="0" shapeId="0" xr:uid="{4A4A3DA6-CA4E-4B6F-9C31-BDD3D72C2E28}">
      <text>
        <r>
          <rPr>
            <b/>
            <sz val="9"/>
            <rFont val="宋体"/>
            <family val="3"/>
            <charset val="134"/>
          </rPr>
          <t xml:space="preserve">徐宇斌：
作用：
</t>
        </r>
        <r>
          <rPr>
            <sz val="9"/>
            <color indexed="81"/>
            <rFont val="宋体"/>
            <family val="3"/>
            <charset val="134"/>
          </rPr>
          <t>角色稀有度</t>
        </r>
        <r>
          <rPr>
            <b/>
            <sz val="9"/>
            <rFont val="宋体"/>
            <family val="3"/>
            <charset val="134"/>
          </rPr>
          <t xml:space="preserve">
配置方式：</t>
        </r>
        <r>
          <rPr>
            <sz val="9"/>
            <rFont val="宋体"/>
            <family val="3"/>
            <charset val="134"/>
          </rPr>
          <t xml:space="preserve">
11：R
12：SR
13：SSR
14：SP
</t>
        </r>
      </text>
    </comment>
    <comment ref="G2" authorId="0" shapeId="0" xr:uid="{8E9629D4-88EF-4A06-AD81-34C67814444E}">
      <text>
        <r>
          <rPr>
            <b/>
            <sz val="9"/>
            <color indexed="81"/>
            <rFont val="宋体"/>
            <family val="3"/>
            <charset val="134"/>
          </rPr>
          <t xml:space="preserve">徐宇斌:
作用：
</t>
        </r>
        <r>
          <rPr>
            <sz val="9"/>
            <color indexed="81"/>
            <rFont val="宋体"/>
            <family val="3"/>
            <charset val="134"/>
          </rPr>
          <t>角色阵营归属</t>
        </r>
        <r>
          <rPr>
            <b/>
            <sz val="9"/>
            <color indexed="81"/>
            <rFont val="宋体"/>
            <family val="3"/>
            <charset val="134"/>
          </rPr>
          <t xml:space="preserve">
配置方式</t>
        </r>
        <r>
          <rPr>
            <sz val="9"/>
            <color indexed="81"/>
            <rFont val="宋体"/>
            <family val="3"/>
            <charset val="134"/>
          </rPr>
          <t xml:space="preserve">
1:维纳斯陷阱
2：希德
3：不死鸟财团
4：东文会
5：魔女集会
6：噬梦之蛇
7：迷雾</t>
        </r>
      </text>
    </comment>
    <comment ref="H2" authorId="0" shapeId="0" xr:uid="{34043165-C7A3-4B94-BEA9-C3C6EF0AE9EA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角色登场所需花费的能量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填写能量数字</t>
        </r>
      </text>
    </comment>
    <comment ref="I2" authorId="0" shapeId="0" xr:uid="{4895DA15-9E6D-4150-8CA0-43AC528EF1F2}">
      <text>
        <r>
          <rPr>
            <b/>
            <sz val="9"/>
            <color indexed="81"/>
            <rFont val="宋体"/>
            <family val="3"/>
            <charset val="134"/>
          </rPr>
          <t xml:space="preserve">作者:
作用：
</t>
        </r>
        <r>
          <rPr>
            <sz val="9"/>
            <color indexed="81"/>
            <rFont val="宋体"/>
            <family val="3"/>
            <charset val="134"/>
          </rPr>
          <t>角色职业</t>
        </r>
        <r>
          <rPr>
            <b/>
            <sz val="9"/>
            <color indexed="81"/>
            <rFont val="宋体"/>
            <family val="3"/>
            <charset val="134"/>
          </rPr>
          <t xml:space="preserve">
配置方式：</t>
        </r>
        <r>
          <rPr>
            <sz val="9"/>
            <color indexed="81"/>
            <rFont val="宋体"/>
            <family val="3"/>
            <charset val="134"/>
          </rPr>
          <t xml:space="preserve">
1：攻袭
2：法师
3：守护
4：治愈
5：召唤
6：光明
7：咒术</t>
        </r>
      </text>
    </comment>
    <comment ref="J2" authorId="0" shapeId="0" xr:uid="{C633A1B0-1A1C-40A7-B6A5-08D4F122525A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该角色的碎片道具ID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填ItemConfig表ID，一般为IHF_角色ID</t>
        </r>
      </text>
    </comment>
    <comment ref="O2" authorId="0" shapeId="0" xr:uid="{C960C8ED-FFB0-4C54-809E-37B4F9B37518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角色的属性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HeroAttr表的ID
</t>
        </r>
      </text>
    </comment>
    <comment ref="P2" authorId="0" shapeId="0" xr:uid="{8BCA12D2-F66B-4248-8746-9A1DE258BA23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直接显示在角色界面的属性，一般是攻防血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AtteConfig表内ID</t>
        </r>
      </text>
    </comment>
    <comment ref="Q2" authorId="0" shapeId="0" xr:uid="{816A2AFC-E26A-49CE-AE38-6B1DA31DB4E9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对应前一列属性的数值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对应具体数值</t>
        </r>
      </text>
    </comment>
    <comment ref="R2" authorId="0" shapeId="0" xr:uid="{95C5BFAF-4150-4E9E-815D-85D6332CE03A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不同品质角色每次升级属性的变化，详见备注页属性公式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配HeroGrow表ID</t>
        </r>
      </text>
    </comment>
    <comment ref="S2" authorId="0" shapeId="0" xr:uid="{46F06324-D2F8-439B-9991-417D85182FEC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升品时增加属性的类型，详见备注页属性公式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AttrConfig表ID
</t>
        </r>
      </text>
    </comment>
    <comment ref="T2" authorId="0" shapeId="0" xr:uid="{ACAAD22D-A0B0-41FD-B273-7CCAA3258282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升品时增加属性的比例，详见备注页属性公式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支持小数配置</t>
        </r>
      </text>
    </comment>
    <comment ref="U2" authorId="0" shapeId="0" xr:uid="{84BC1A5B-DCF5-4DEA-8D83-FF4D21FCD79B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color indexed="81"/>
            <rFont val="宋体"/>
            <family val="3"/>
            <charset val="134"/>
          </rPr>
          <t xml:space="preserve">
用于升星时属性计算，详见备注页属性公式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AttrConfig表ID</t>
        </r>
      </text>
    </comment>
    <comment ref="V2" authorId="0" shapeId="0" xr:uid="{E444109C-EF11-4751-85B1-1DE0F3308D11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color indexed="81"/>
            <rFont val="宋体"/>
            <family val="3"/>
            <charset val="134"/>
          </rPr>
          <t xml:space="preserve">
用于升星属性计算（觉醒当作升星延续，所以也要乘这个比例）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对应数值</t>
        </r>
      </text>
    </comment>
    <comment ref="W2" authorId="0" shapeId="0" xr:uid="{08DE5457-8F2E-455F-94DD-415C82018074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color indexed="81"/>
            <rFont val="宋体"/>
            <family val="3"/>
            <charset val="134"/>
          </rPr>
          <t xml:space="preserve">
用于调取升每一级所需经验、金币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调用HeroExp表ID</t>
        </r>
      </text>
    </comment>
    <comment ref="X2" authorId="0" shapeId="0" xr:uid="{96484F25-75BB-43D2-BD0B-B931B9C5ACC7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color indexed="81"/>
            <rFont val="宋体"/>
            <family val="3"/>
            <charset val="134"/>
          </rPr>
          <t xml:space="preserve">
与角色升品消耗、升品属性变动相关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填写HeroQuality表对应稀有度的初始品质ID</t>
        </r>
      </text>
    </comment>
    <comment ref="Y2" authorId="0" shapeId="0" xr:uid="{FFE21CE2-578D-4B57-91D0-14BDB2A84BEE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与角色升星消耗、升星属性变动相关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填写HeroStarEffect表对应稀有度的初始星级ID</t>
        </r>
      </text>
    </comment>
    <comment ref="Z2" authorId="0" shapeId="0" xr:uid="{7E2AB244-07E5-479E-899D-C41C9A4C1E0D}">
      <text>
        <r>
          <rPr>
            <b/>
            <sz val="9"/>
            <color indexed="81"/>
            <rFont val="宋体"/>
            <family val="3"/>
            <charset val="134"/>
          </rPr>
          <t xml:space="preserve">作者:
作用：
</t>
        </r>
        <r>
          <rPr>
            <sz val="9"/>
            <color indexed="81"/>
            <rFont val="宋体"/>
            <family val="3"/>
            <charset val="134"/>
          </rPr>
          <t xml:space="preserve">角色CV名字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配translate表ID</t>
        </r>
      </text>
    </comment>
    <comment ref="AA2" authorId="0" shapeId="0" xr:uid="{65F0C92B-C5EB-496A-87E1-9F9702C2811B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角色气泡可能出现的所有文本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配translate表ID</t>
        </r>
      </text>
    </comment>
    <comment ref="AB2" authorId="0" shapeId="0" xr:uid="{CDBB1F53-508B-4DB9-839F-E50C217B749F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暂时没做语音</t>
        </r>
      </text>
    </comment>
    <comment ref="AD2" authorId="0" shapeId="0" xr:uid="{CC981133-8BC2-408B-BFE3-DE9A76DD1F54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color indexed="81"/>
            <rFont val="宋体"/>
            <family val="3"/>
            <charset val="134"/>
          </rPr>
          <t xml:space="preserve">
用于角色预览界面的背景故事简介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填tranlate表ID</t>
        </r>
      </text>
    </comment>
    <comment ref="AE2" authorId="0" shapeId="0" xr:uid="{6DEBB934-3EE9-4124-99E6-B54FF70F0E32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用于关联到角色对应的觉醒表内ID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填写HeroAwaken表觉醒0层时的ID名称
未开放觉醒时配空</t>
        </r>
      </text>
    </comment>
    <comment ref="AE5" authorId="0" shapeId="0" xr:uid="{D13F1213-297C-4722-95EF-464E09457C6F}">
      <text>
        <r>
          <rPr>
            <sz val="9"/>
            <color indexed="81"/>
            <rFont val="宋体"/>
            <family val="3"/>
            <charset val="134"/>
          </rPr>
          <t>Added by 徐宇斌, on 2022/7/28, 14:37:20;</t>
        </r>
      </text>
    </comment>
    <comment ref="B7" authorId="0" shapeId="0" xr:uid="{94D2695B-965B-4E86-A18A-A25F313EE35A}">
      <text>
        <r>
          <rPr>
            <sz val="9"/>
            <color indexed="81"/>
            <rFont val="宋体"/>
            <family val="3"/>
            <charset val="134"/>
          </rPr>
          <t>Added by 徐宇斌, on 2022/6/23, 11:30:44;</t>
        </r>
      </text>
    </comment>
    <comment ref="Y7" authorId="0" shapeId="0" xr:uid="{525A0992-4447-4DA8-86DD-ED1088B3858A}">
      <text>
        <r>
          <rPr>
            <sz val="9"/>
            <color indexed="81"/>
            <rFont val="宋体"/>
            <family val="3"/>
            <charset val="134"/>
          </rPr>
          <t xml:space="preserve">1 Time(s);
Modified by 徐宇斌, on 2022/7/28, 14:37:28;
</t>
        </r>
      </text>
    </comment>
    <comment ref="AC7" authorId="0" shapeId="0" xr:uid="{AFB05F97-C3F0-4760-B88E-D68EB563FF0E}">
      <text>
        <r>
          <rPr>
            <sz val="9"/>
            <color indexed="81"/>
            <rFont val="宋体"/>
            <family val="3"/>
            <charset val="134"/>
          </rPr>
          <t xml:space="preserve">1 Time(s);
Modified by 徐宇斌, on 2022/8/30, 18:35:43;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02DE4948-7A75-4220-82AC-10BD3A036618}">
      <text>
        <r>
          <rPr>
            <sz val="9"/>
            <rFont val="宋体"/>
            <family val="3"/>
            <charset val="134"/>
          </rPr>
          <t>作者:
多语言唯一标识ID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F307A5ED-9CB7-46B2-A48B-40235A03852F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道具ID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常用命名规则见备注页</t>
        </r>
      </text>
    </comment>
    <comment ref="C2" authorId="0" shapeId="0" xr:uid="{682D687E-38B6-494D-9E61-1C5C2177B227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显示于游戏内的文本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命名“道具ID_Name”</t>
        </r>
      </text>
    </comment>
    <comment ref="E2" authorId="0" shapeId="0" xr:uid="{D85ECE0B-18FB-4FBA-A29E-518D4BD031FF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color indexed="81"/>
            <rFont val="宋体"/>
            <family val="3"/>
            <charset val="134"/>
          </rPr>
          <t xml:space="preserve">
用于解释这件道具具体怎么使用，使用后效果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命名“道具ID_FunctionDesc”</t>
        </r>
      </text>
    </comment>
    <comment ref="G2" authorId="0" shapeId="0" xr:uid="{E83BC1AE-4A66-4A12-AA18-B3F61821FF8D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为道具提供背景等故事包装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命名“道具ID_StoryDesc”</t>
        </r>
      </text>
    </comment>
    <comment ref="I2" authorId="0" shapeId="0" xr:uid="{3D28B4FA-3861-4B7F-A31A-E1710B594024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判断该道具是否在背包显示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0：不显示
1：显示</t>
        </r>
      </text>
    </comment>
    <comment ref="J2" authorId="0" shapeId="0" xr:uid="{12C30670-CCCF-41DA-900C-409AFAB6B420}">
      <text>
        <r>
          <rPr>
            <b/>
            <sz val="9"/>
            <color indexed="81"/>
            <rFont val="宋体"/>
            <family val="3"/>
            <charset val="134"/>
          </rPr>
          <t xml:space="preserve">作者:
作用：
</t>
        </r>
        <r>
          <rPr>
            <sz val="9"/>
            <color indexed="81"/>
            <rFont val="宋体"/>
            <family val="3"/>
            <charset val="134"/>
          </rPr>
          <t>道具分到哪个页签</t>
        </r>
        <r>
          <rPr>
            <b/>
            <sz val="9"/>
            <color indexed="81"/>
            <rFont val="宋体"/>
            <family val="3"/>
            <charset val="134"/>
          </rPr>
          <t xml:space="preserve">
配置方式：</t>
        </r>
        <r>
          <rPr>
            <sz val="9"/>
            <color indexed="81"/>
            <rFont val="宋体"/>
            <family val="3"/>
            <charset val="134"/>
          </rPr>
          <t xml:space="preserve">
0：货币（不显示在背包）
1：消耗品
2：装备
3：圣铭
4：时魄
5：材料
6：碎片
7：其它</t>
        </r>
      </text>
    </comment>
    <comment ref="K2" authorId="0" shapeId="0" xr:uid="{0FE8F2F0-24C1-49E6-ADBA-44CFD39A6E94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color indexed="81"/>
            <rFont val="宋体"/>
            <family val="3"/>
            <charset val="134"/>
          </rPr>
          <t xml:space="preserve">
在道具详情内展示，便于玩家快速理解该道具作用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具体类型见备注页</t>
        </r>
      </text>
    </comment>
    <comment ref="N2" authorId="0" shapeId="0" xr:uid="{9FCF0146-62BE-40A1-90CF-FBE48B510DDD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道具图标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填写资源名</t>
        </r>
      </text>
    </comment>
    <comment ref="O2" authorId="0" shapeId="0" xr:uid="{320178A0-9D0A-4A38-A327-6C1BBC5F3285}">
      <text>
        <r>
          <rPr>
            <b/>
            <sz val="9"/>
            <color indexed="81"/>
            <rFont val="宋体"/>
            <family val="3"/>
            <charset val="134"/>
          </rPr>
          <t xml:space="preserve">作者:
作用：
</t>
        </r>
        <r>
          <rPr>
            <sz val="9"/>
            <color indexed="81"/>
            <rFont val="宋体"/>
            <family val="3"/>
            <charset val="134"/>
          </rPr>
          <t>道具品质影响底框、排序</t>
        </r>
        <r>
          <rPr>
            <b/>
            <sz val="9"/>
            <color indexed="81"/>
            <rFont val="宋体"/>
            <family val="3"/>
            <charset val="134"/>
          </rPr>
          <t xml:space="preserve">
配置方式：</t>
        </r>
        <r>
          <rPr>
            <sz val="9"/>
            <color indexed="81"/>
            <rFont val="宋体"/>
            <family val="3"/>
            <charset val="134"/>
          </rPr>
          <t xml:space="preserve">
1:白
2:绿
3:蓝
4:紫
5:橙
6:红</t>
        </r>
      </text>
    </comment>
    <comment ref="P2" authorId="0" shapeId="0" xr:uid="{5111479B-A38E-4F4E-B57C-3F534C170622}">
      <text>
        <r>
          <rPr>
            <b/>
            <sz val="9"/>
            <color indexed="81"/>
            <rFont val="宋体"/>
            <family val="3"/>
            <charset val="134"/>
          </rPr>
          <t xml:space="preserve">作者:
作用：
</t>
        </r>
        <r>
          <rPr>
            <sz val="9"/>
            <color indexed="81"/>
            <rFont val="宋体"/>
            <family val="3"/>
            <charset val="134"/>
          </rPr>
          <t>使用道具后能获得什么奖励</t>
        </r>
        <r>
          <rPr>
            <b/>
            <sz val="9"/>
            <color indexed="81"/>
            <rFont val="宋体"/>
            <family val="3"/>
            <charset val="134"/>
          </rPr>
          <t xml:space="preserve">
表现方式：</t>
        </r>
        <r>
          <rPr>
            <sz val="9"/>
            <color indexed="81"/>
            <rFont val="宋体"/>
            <family val="3"/>
            <charset val="134"/>
          </rPr>
          <t xml:space="preserve">
使用道具可获得的奖励，Reward表ID</t>
        </r>
      </text>
    </comment>
    <comment ref="Q2" authorId="0" shapeId="0" xr:uid="{63EF7AFC-E253-4A4C-A2A8-FB20BC5AA2CC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color indexed="81"/>
            <rFont val="宋体"/>
            <family val="3"/>
            <charset val="134"/>
          </rPr>
          <t xml:space="preserve">
用于经验瓶等道具的奖励计算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经验瓶：直接填写增加的经验值</t>
        </r>
      </text>
    </comment>
    <comment ref="R2" authorId="0" shapeId="0" xr:uid="{98E3F399-2740-42F0-95C8-660DC9024920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玩家持有该道具的最大持有量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具体数值
</t>
        </r>
      </text>
    </comment>
    <comment ref="S2" authorId="0" shapeId="0" xr:uid="{23BC0363-A5E0-4916-9AE6-89968AF5449B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获取来源还没做</t>
        </r>
      </text>
    </comment>
    <comment ref="T2" authorId="0" shapeId="0" xr:uid="{3FD87818-D564-4588-803E-41A79078BB07}">
      <text>
        <r>
          <rPr>
            <b/>
            <sz val="9"/>
            <color indexed="81"/>
            <rFont val="宋体"/>
            <family val="3"/>
            <charset val="134"/>
          </rPr>
          <t xml:space="preserve">作者:
作用：
</t>
        </r>
        <r>
          <rPr>
            <sz val="9"/>
            <color indexed="81"/>
            <rFont val="宋体"/>
            <family val="3"/>
            <charset val="134"/>
          </rPr>
          <t>该道具出售时以何种货币结算</t>
        </r>
        <r>
          <rPr>
            <b/>
            <sz val="9"/>
            <color indexed="81"/>
            <rFont val="宋体"/>
            <family val="3"/>
            <charset val="134"/>
          </rPr>
          <t xml:space="preserve">
配置方式：</t>
        </r>
        <r>
          <rPr>
            <sz val="9"/>
            <color indexed="81"/>
            <rFont val="宋体"/>
            <family val="3"/>
            <charset val="134"/>
          </rPr>
          <t xml:space="preserve">
1：金币
2：水晶
3：钻石</t>
        </r>
      </text>
    </comment>
    <comment ref="U2" authorId="0" shapeId="0" xr:uid="{8DEE0623-7371-41F4-8642-9082903E356A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道具出售结算的货币数量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填具体数值，不可出售填-1</t>
        </r>
      </text>
    </comment>
    <comment ref="V2" authorId="0" shapeId="0" xr:uid="{A405F5DE-86F1-4679-8D0A-C6E57DA90A53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当道具类型为碎片时，此处填对应角色ID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HeroBase表ID</t>
        </r>
      </text>
    </comment>
    <comment ref="W2" authorId="0" shapeId="0" xr:uid="{56E5CE8C-B3C9-4928-87B3-AB1CF47A4C3C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宋体"/>
            <family val="3"/>
            <charset val="134"/>
          </rPr>
          <t>作用：</t>
        </r>
        <r>
          <rPr>
            <sz val="9"/>
            <rFont val="宋体"/>
            <family val="3"/>
            <charset val="134"/>
          </rPr>
          <t xml:space="preserve">
判断是否可以一次性使用多个道具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rFont val="宋体"/>
            <family val="3"/>
            <charset val="134"/>
          </rPr>
          <t xml:space="preserve">
1:可以
0:不可以</t>
        </r>
      </text>
    </comment>
    <comment ref="X2" authorId="0" shapeId="0" xr:uid="{E4198D1F-2748-4A21-8E2C-DE045A7BE6E3}">
      <text>
        <r>
          <rPr>
            <b/>
            <sz val="9"/>
            <rFont val="宋体"/>
            <family val="3"/>
            <charset val="134"/>
          </rPr>
          <t xml:space="preserve">作者:
作用：
</t>
        </r>
        <r>
          <rPr>
            <sz val="9"/>
            <color indexed="81"/>
            <rFont val="宋体"/>
            <family val="3"/>
            <charset val="134"/>
          </rPr>
          <t xml:space="preserve">判断得到该道具时是否自动使用
</t>
        </r>
        <r>
          <rPr>
            <b/>
            <sz val="9"/>
            <rFont val="宋体"/>
            <family val="3"/>
            <charset val="134"/>
          </rPr>
          <t>配置方式</t>
        </r>
        <r>
          <rPr>
            <sz val="9"/>
            <rFont val="宋体"/>
            <family val="3"/>
            <charset val="134"/>
          </rPr>
          <t xml:space="preserve">
1：立刻使用
0：不使用</t>
        </r>
      </text>
    </comment>
    <comment ref="Y2" authorId="0" shapeId="0" xr:uid="{714B3312-7FDD-4185-A834-52CC7D937616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0-不发光
1-发光</t>
        </r>
      </text>
    </comment>
    <comment ref="Z2" authorId="0" shapeId="0" xr:uid="{27692DF4-8BCA-4060-87F5-596C0FCECF31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用于背包内道具排序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命名规则为：道具类型+品质+序号</t>
        </r>
      </text>
    </comment>
    <comment ref="B7" authorId="0" shapeId="0" xr:uid="{389E8EF8-A936-4E8D-A399-D295C0FB314E}">
      <text>
        <r>
          <rPr>
            <sz val="9"/>
            <color indexed="81"/>
            <rFont val="宋体"/>
            <family val="3"/>
            <charset val="134"/>
          </rPr>
          <t>Added by 韩朝阳, on 2022/6/22, 11:20:16;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徐宇斌</author>
    <author>作者</author>
  </authors>
  <commentList>
    <comment ref="A1" authorId="0" shapeId="0" xr:uid="{EBB64BE3-49B8-4511-BBF9-1467D91E44F7}">
      <text>
        <r>
          <rPr>
            <sz val="9"/>
            <color indexed="81"/>
            <rFont val="宋体"/>
            <family val="3"/>
            <charset val="134"/>
          </rPr>
          <t xml:space="preserve">PRIMARY: XTi_Attr, deleted by 徐宇斌, on 2022/6/23, 11:30:44;
PRIMARY: YHMing_Attr, deleted by 徐宇斌, on 2022/6/23, 11:30:44;
PRIMARY: DWZXi_Attr, deleted by 徐宇斌, on 2022/6/23, 11:30:44;
PRIMARY: SQBYTSi_Attr, deleted by 徐宇斌, on 2022/6/23, 11:30:44;
</t>
        </r>
      </text>
    </comment>
    <comment ref="AA1" authorId="1" shapeId="0" xr:uid="{ADD3BB87-E952-40D3-A81B-3C29C21D8BE6}">
      <text>
        <r>
          <rPr>
            <sz val="9"/>
            <rFont val="宋体"/>
            <family val="3"/>
            <charset val="134"/>
          </rPr>
          <t xml:space="preserve">1 Time(s);
Column Modified by 刀光, on 2021/12/18, 19:22:11;
</t>
        </r>
      </text>
    </comment>
    <comment ref="B2" authorId="1" shapeId="0" xr:uid="{9D160F8C-3B4E-44BA-866E-A91A1D127703}">
      <text>
        <r>
          <rPr>
            <b/>
            <sz val="9"/>
            <color indexed="81"/>
            <rFont val="宋体"/>
            <family val="3"/>
            <charset val="134"/>
          </rPr>
          <t xml:space="preserve">作者:
作用：
</t>
        </r>
        <r>
          <rPr>
            <sz val="9"/>
            <color indexed="81"/>
            <rFont val="宋体"/>
            <family val="3"/>
            <charset val="134"/>
          </rPr>
          <t>角色初始属性ID</t>
        </r>
        <r>
          <rPr>
            <b/>
            <sz val="9"/>
            <color indexed="81"/>
            <rFont val="宋体"/>
            <family val="3"/>
            <charset val="134"/>
          </rPr>
          <t xml:space="preserve">
配置方式：
</t>
        </r>
        <r>
          <rPr>
            <sz val="9"/>
            <color indexed="81"/>
            <rFont val="宋体"/>
            <family val="3"/>
            <charset val="134"/>
          </rPr>
          <t>命名一般为“角色ID_Attr”</t>
        </r>
      </text>
    </comment>
    <comment ref="C2" authorId="1" shapeId="0" xr:uid="{09B0269B-3EAA-42F0-B182-69DC2D37D9AF}">
      <text>
        <r>
          <rPr>
            <b/>
            <sz val="9"/>
            <color indexed="81"/>
            <rFont val="宋体"/>
            <family val="3"/>
            <charset val="134"/>
          </rPr>
          <t>作者:
作用：</t>
        </r>
        <r>
          <rPr>
            <sz val="9"/>
            <color indexed="81"/>
            <rFont val="宋体"/>
            <family val="3"/>
            <charset val="134"/>
          </rPr>
          <t xml:space="preserve">
角色配置的初始战力，目前未拥有角色按战力排序时直接读取这列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color indexed="81"/>
            <rFont val="宋体"/>
            <family val="3"/>
            <charset val="134"/>
          </rPr>
          <t xml:space="preserve">
具体数值</t>
        </r>
      </text>
    </comment>
    <comment ref="B7" authorId="0" shapeId="0" xr:uid="{0267B40C-4389-42D3-AC35-CC74E6AD8FA8}">
      <text>
        <r>
          <rPr>
            <sz val="9"/>
            <color indexed="81"/>
            <rFont val="宋体"/>
            <family val="3"/>
            <charset val="134"/>
          </rPr>
          <t>Added by 徐宇斌, on 2022/6/23, 11:30:44;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7" authorId="0" shapeId="0" xr:uid="{8CD1FA9F-0E4F-4AD2-91EF-8A0D4D28FEC8}">
      <text>
        <r>
          <rPr>
            <sz val="9"/>
            <color indexed="81"/>
            <rFont val="宋体"/>
            <family val="3"/>
            <charset val="134"/>
          </rPr>
          <t>Added by 徐宇斌, on 2022/8/30, 18:35:44;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徐宇斌</author>
    <author>作者</author>
  </authors>
  <commentList>
    <comment ref="A1" authorId="0" shapeId="0" xr:uid="{19CE45F3-01F4-4EE2-84D8-B58429FC85C3}">
      <text>
        <r>
          <rPr>
            <sz val="9"/>
            <color indexed="81"/>
            <rFont val="宋体"/>
            <family val="3"/>
            <charset val="134"/>
          </rPr>
          <t xml:space="preserve">PRIMARY: DWZXi_0, deleted by 徐宇斌, on 2022/6/23, 11:30:44;
PRIMARY: DWZXi_1, deleted by 徐宇斌, on 2022/6/23, 11:30:44;
PRIMARY: DWZXi_2, deleted by 徐宇斌, on 2022/6/23, 11:30:44;
PRIMARY: DWZXi_3, deleted by 徐宇斌, on 2022/6/23, 11:30:44;
PRIMARY: DWZXi_4, deleted by 徐宇斌, on 2022/6/23, 11:30:44;
PRIMARY: SCheng_4, deleted by 徐宇斌, on 2022/7/28, 14:37:30;
</t>
        </r>
      </text>
    </comment>
    <comment ref="J1" authorId="0" shapeId="0" xr:uid="{E1EEBA9B-5A9A-4C4B-907A-570BF900AB17}">
      <text>
        <r>
          <rPr>
            <sz val="9"/>
            <color indexed="81"/>
            <rFont val="宋体"/>
            <family val="3"/>
            <charset val="134"/>
          </rPr>
          <t xml:space="preserve">2 Time(s);
Column Modified by 徐宇斌, on 2022/7/28, 14:37:25;
Column Modified by 徐宇斌, on 2022/7/28, 14:38:27;
</t>
        </r>
      </text>
    </comment>
    <comment ref="B2" authorId="1" shapeId="0" xr:uid="{28DAEF22-38CC-4CDC-961D-3F31A0E27649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作用：
配置方式：
</t>
        </r>
      </text>
    </comment>
    <comment ref="J2" authorId="0" shapeId="0" xr:uid="{8946AF3E-AA7B-4E49-B7C3-477F37DB332A}">
      <text>
        <r>
          <rPr>
            <b/>
            <sz val="9"/>
            <color indexed="81"/>
            <rFont val="宋体"/>
            <family val="3"/>
            <charset val="134"/>
          </rPr>
          <t xml:space="preserve">作者:
作用：
</t>
        </r>
        <r>
          <rPr>
            <sz val="9"/>
            <color indexed="81"/>
            <rFont val="宋体"/>
            <family val="3"/>
            <charset val="134"/>
          </rPr>
          <t>可理解配多少值，觉醒时就加多少值，如，配了ATK300,觉醒时这一部分就加300攻击力；
详见备注页属性计算公式</t>
        </r>
        <r>
          <rPr>
            <b/>
            <sz val="9"/>
            <color indexed="81"/>
            <rFont val="宋体"/>
            <family val="3"/>
            <charset val="134"/>
          </rPr>
          <t xml:space="preserve">
配置方式：
</t>
        </r>
        <r>
          <rPr>
            <sz val="9"/>
            <color indexed="81"/>
            <rFont val="宋体"/>
            <family val="3"/>
            <charset val="134"/>
          </rPr>
          <t>具体数值</t>
        </r>
      </text>
    </comment>
    <comment ref="B7" authorId="0" shapeId="0" xr:uid="{40D5E697-1CAC-4425-9452-CE83A04B4BA5}">
      <text>
        <r>
          <rPr>
            <sz val="9"/>
            <color indexed="81"/>
            <rFont val="宋体"/>
            <family val="3"/>
            <charset val="134"/>
          </rPr>
          <t>Added by 徐宇斌, on 2022/7/28, 14:37:31;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A1" authorId="0" shapeId="0" xr:uid="{0E2AB6A6-26F5-4A09-A8CB-136E0D7B3A01}">
      <text>
        <r>
          <rPr>
            <sz val="9"/>
            <color indexed="81"/>
            <rFont val="宋体"/>
            <family val="3"/>
            <charset val="134"/>
          </rPr>
          <t xml:space="preserve">PRIMARY: Model_XTi, deleted by 徐宇斌, on 2022/6/23, 11:30:49;
PRIMARY: Model_YHMing, deleted by 徐宇斌, on 2022/6/23, 11:30:49;
PRIMARY: Model_DWZXi, deleted by 徐宇斌, on 2022/6/23, 11:30:49;
PRIMARY: Model_SQBYTSi, deleted by 徐宇斌, on 2022/6/23, 11:30:49;
</t>
        </r>
      </text>
    </comment>
    <comment ref="D2" authorId="0" shapeId="0" xr:uid="{A97CDD5B-11DD-4B0A-AEA5-3267E95D6D24}">
      <text>
        <r>
          <rPr>
            <b/>
            <sz val="9"/>
            <rFont val="宋体"/>
            <family val="3"/>
            <charset val="134"/>
          </rPr>
          <t>周家靖：</t>
        </r>
        <r>
          <rPr>
            <sz val="9"/>
            <rFont val="宋体"/>
            <family val="3"/>
            <charset val="134"/>
          </rPr>
          <t xml:space="preserve">
填角色模型资源的名称</t>
        </r>
      </text>
    </comment>
    <comment ref="E2" authorId="0" shapeId="0" xr:uid="{5658ED13-F7DC-4544-BE2F-E5A8E776D367}">
      <text>
        <r>
          <rPr>
            <b/>
            <sz val="9"/>
            <rFont val="宋体"/>
            <family val="3"/>
            <charset val="134"/>
          </rPr>
          <t>周家靖：</t>
        </r>
        <r>
          <rPr>
            <sz val="9"/>
            <rFont val="宋体"/>
            <family val="3"/>
            <charset val="134"/>
          </rPr>
          <t xml:space="preserve">
填角色立绘资源的名称
若无立绘此处填写null</t>
        </r>
      </text>
    </comment>
    <comment ref="F2" authorId="0" shapeId="0" xr:uid="{9902DE5B-52BF-44B0-9D5E-49A0CACC7F02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主角和英魂的基础头像图片
其他小的头像都用这个切</t>
        </r>
      </text>
    </comment>
    <comment ref="G5" authorId="0" shapeId="0" xr:uid="{F3E59C01-CDFE-4EE4-80C0-722BD79B4FD2}">
      <text>
        <r>
          <rPr>
            <sz val="9"/>
            <color indexed="81"/>
            <rFont val="宋体"/>
            <family val="3"/>
            <charset val="134"/>
          </rPr>
          <t>Added by 徐宇斌, on 2022/7/28, 14:37:26;</t>
        </r>
      </text>
    </comment>
    <comment ref="C7" authorId="0" shapeId="0" xr:uid="{DFCEBD0F-4F55-4C25-9E83-4D893C707ADF}">
      <text>
        <r>
          <rPr>
            <sz val="9"/>
            <color indexed="81"/>
            <rFont val="宋体"/>
            <family val="3"/>
            <charset val="134"/>
          </rPr>
          <t xml:space="preserve">1 Time(s);
Modified by 徐宇斌, on 2022/6/23, 11:30:49;
</t>
        </r>
      </text>
    </comment>
    <comment ref="E7" authorId="0" shapeId="0" xr:uid="{EEEBF1B9-83AB-4356-B844-EF16E4EC1EFF}">
      <text>
        <r>
          <rPr>
            <sz val="9"/>
            <color indexed="81"/>
            <rFont val="宋体"/>
            <family val="3"/>
            <charset val="134"/>
          </rPr>
          <t xml:space="preserve">2 Time(s);
Modified by 徐宇斌, on 2022/6/23, 11:30:49;
Modified by 徐宇斌, on 2022/6/23, 14:46:41;
</t>
        </r>
      </text>
    </comment>
    <comment ref="F7" authorId="0" shapeId="0" xr:uid="{92A45AA2-034D-4CA4-8915-331AC8CABBB6}">
      <text>
        <r>
          <rPr>
            <sz val="9"/>
            <color indexed="81"/>
            <rFont val="宋体"/>
            <family val="3"/>
            <charset val="134"/>
          </rPr>
          <t xml:space="preserve">2 Time(s);
Modified by 徐宇斌, on 2022/6/23, 11:30:49;
Modified by 徐宇斌, on 2022/6/23, 14:46:42;
</t>
        </r>
      </text>
    </comment>
  </commentList>
</comments>
</file>

<file path=xl/sharedStrings.xml><?xml version="1.0" encoding="utf-8"?>
<sst xmlns="http://schemas.openxmlformats.org/spreadsheetml/2006/main" count="740" uniqueCount="452">
  <si>
    <t>工作模式：</t>
    <phoneticPr fontId="7" type="noConversion"/>
  </si>
  <si>
    <t>工作模式：</t>
    <phoneticPr fontId="7" type="noConversion"/>
  </si>
  <si>
    <t>细节说明：</t>
    <phoneticPr fontId="7" type="noConversion"/>
  </si>
  <si>
    <t>工作目录：</t>
    <phoneticPr fontId="7" type="noConversion"/>
  </si>
  <si>
    <t>6.选择工作模式点击开始运行，期间在左下角状态栏会显示进度，完毕后将有提示。</t>
    <phoneticPr fontId="7" type="noConversion"/>
  </si>
  <si>
    <t>快捷键：</t>
    <phoneticPr fontId="7" type="noConversion"/>
  </si>
  <si>
    <t>Ctrl+Shift+X 对选中的单元格进行活动文档奖励标准化处理</t>
    <phoneticPr fontId="7" type="noConversion"/>
  </si>
  <si>
    <t>每次一键合表之后需要看看上底色的单元格有没有异常</t>
    <phoneticPr fontId="7" type="noConversion"/>
  </si>
  <si>
    <t>注意：</t>
    <phoneticPr fontId="7" type="noConversion"/>
  </si>
  <si>
    <t>7.推荐先选择检测模式执行，查看各个分页填充的底色核对结果，之后再正式合表。</t>
    <phoneticPr fontId="7" type="noConversion"/>
  </si>
  <si>
    <t>控制功能：</t>
    <phoneticPr fontId="7" type="noConversion"/>
  </si>
  <si>
    <t>2.复制要合表的工作簿表头，粘贴到新建的分页，一般表头是6行。</t>
    <phoneticPr fontId="7" type="noConversion"/>
  </si>
  <si>
    <t>4.分页中的每行数据，可以是已存在的，将会进行修改操作，也可以是不存在的，将会进行插入操作。</t>
    <phoneticPr fontId="7" type="noConversion"/>
  </si>
  <si>
    <t>5.通过按钮选择需要合表的目标工作簿所在路径，同时也支持直接手动填写。</t>
    <phoneticPr fontId="7" type="noConversion"/>
  </si>
  <si>
    <t>当本工作簿内的字段和目标工作簿不一致时只合并交集的部分</t>
    <phoneticPr fontId="7" type="noConversion"/>
  </si>
  <si>
    <t>删除数据行或修改数据行主键时一定要不要忘记使用“#Del”</t>
    <phoneticPr fontId="7" type="noConversion"/>
  </si>
  <si>
    <t>尤其是不可存在冗余数据的表一定要用“#Del”清除数据行</t>
    <phoneticPr fontId="7" type="noConversion"/>
  </si>
  <si>
    <t>异常处理：</t>
    <phoneticPr fontId="7" type="noConversion"/>
  </si>
  <si>
    <t>3.目标表内各个分页字段不统一</t>
    <phoneticPr fontId="7" type="noConversion"/>
  </si>
  <si>
    <t>2.目标表存在全空的空白分页</t>
    <phoneticPr fontId="7" type="noConversion"/>
  </si>
  <si>
    <t>4.目标表控制列没有填写“End”</t>
    <phoneticPr fontId="7" type="noConversion"/>
  </si>
  <si>
    <t>检测模式：此功能与精确合表逻辑相同，但是不保存任何修改，只对与本地工作簿不同的单元格进行颜色填充。</t>
    <phoneticPr fontId="7" type="noConversion"/>
  </si>
  <si>
    <t>精确合表：精确到单元格的合表，在合表的同时能精确的显示出具体修改了哪个单元格，本地与目标工作簿修改的单元格颜色填充。</t>
    <phoneticPr fontId="7" type="noConversion"/>
  </si>
  <si>
    <t>2.在控制列写上“$”代表在执行合表时忽略此数据行，程序直接跳过。</t>
    <phoneticPr fontId="7" type="noConversion"/>
  </si>
  <si>
    <t>3.在控制列写上其他文本时，代表新建此条数据行时合并到目标工作簿名称为此文本的分页，只对新建有效。</t>
    <phoneticPr fontId="7" type="noConversion"/>
  </si>
  <si>
    <t>4.控制列留空代表合表时此数据行合表到默认的目标工作簿分页，即第二个单元格的内容为名称的分页，同样只对新建有效。</t>
    <phoneticPr fontId="7" type="noConversion"/>
  </si>
  <si>
    <t>1.本表内所有行控制列无需填写Start和End标志。</t>
    <phoneticPr fontId="7" type="noConversion"/>
  </si>
  <si>
    <t>2.每个分页的名字无所谓，但是每页第一个单元格的内容将作为本页的目标工作簿，无需填写文件xlsx后缀。</t>
    <phoneticPr fontId="7" type="noConversion"/>
  </si>
  <si>
    <t>3.分页名称第一个字符是“$”号的代表本分页不是数据分页，不参与合表，例如本备注分页。</t>
    <phoneticPr fontId="7" type="noConversion"/>
  </si>
  <si>
    <t>4.如果单元格指定的分页在目标工作簿不存在则自动新建此分页，务必保证新分页有2条以上的数据行，否则将出错。</t>
    <phoneticPr fontId="7" type="noConversion"/>
  </si>
  <si>
    <t>5.要删除某行数据，千万不要在本工作簿直接删除，而是在其前面的控制列写“#Del”标志，执行之后程序将在目标工作簿删除这些行，否则仅仅是本地删除。</t>
    <phoneticPr fontId="7" type="noConversion"/>
  </si>
  <si>
    <t>6.由于程序的原理是基于主键“PRIMARY”索引，因此修改主键字段要使用“#Del”功能实现，直接修改会变成新建插入。</t>
    <phoneticPr fontId="7" type="noConversion"/>
  </si>
  <si>
    <t>当出现异常后，先检查目标工作簿是否不符合规范。</t>
    <phoneticPr fontId="7" type="noConversion"/>
  </si>
  <si>
    <t>1.程序找不到主键字段“PRIMARY”</t>
    <phoneticPr fontId="7" type="noConversion"/>
  </si>
  <si>
    <t>5.目标表或本地数据存在#开头的报错单元格</t>
    <phoneticPr fontId="7" type="noConversion"/>
  </si>
  <si>
    <t>1.在控制列写上“#Del”将会对目标表的数据行进行删除操作。</t>
    <phoneticPr fontId="7" type="noConversion"/>
  </si>
  <si>
    <t>对列进行操作：</t>
    <phoneticPr fontId="7" type="noConversion"/>
  </si>
  <si>
    <t>开发人：庄晋升</t>
    <phoneticPr fontId="7" type="noConversion"/>
  </si>
  <si>
    <t>4.增加列时，如果页签很多，会运行一段时间，这时不要关闭等待运行</t>
    <phoneticPr fontId="7" type="noConversion"/>
  </si>
  <si>
    <t>1.点击后，删除备注之外的其他各表从第7行开始的数据</t>
    <phoneticPr fontId="7" type="noConversion"/>
  </si>
  <si>
    <t>2.此过程不可逆，要注意</t>
    <phoneticPr fontId="7" type="noConversion"/>
  </si>
  <si>
    <t>1.在本工作簿新建一个分页名称随意，分页名不要以数字开头</t>
    <phoneticPr fontId="7" type="noConversion"/>
  </si>
  <si>
    <t xml:space="preserve">     </t>
    <phoneticPr fontId="7" type="noConversion"/>
  </si>
  <si>
    <t>1.在对应列第一行添加删除标记“#ColDel”，对表中所有页签的该字段进行删除，后序列顶替前面位置</t>
    <phoneticPr fontId="7" type="noConversion"/>
  </si>
  <si>
    <t>2.在对应列第一行添加删除标记“#ColAdd”，对表中所有页签增加该字段列，添加位置为列末尾，并覆盖添加批注</t>
    <phoneticPr fontId="7" type="noConversion"/>
  </si>
  <si>
    <t>3.在对应列第一行添加修改标记“#ColModify”，对表中所有页签的该字段进行字段类型修改，并覆盖添加批注</t>
    <phoneticPr fontId="7" type="noConversion"/>
  </si>
  <si>
    <t>7.Excel在数学运算和逻辑判断中可能不对空值与0进行区分，但程序读取数值表时有可能是区分的，配置时请进行注意。（狼骑士）</t>
    <phoneticPr fontId="7" type="noConversion"/>
  </si>
  <si>
    <t>用户标识：</t>
    <phoneticPr fontId="7" type="noConversion"/>
  </si>
  <si>
    <t>清理批注密码为314.</t>
    <phoneticPr fontId="7" type="noConversion"/>
  </si>
  <si>
    <t>log功能：</t>
    <phoneticPr fontId="7" type="noConversion"/>
  </si>
  <si>
    <t>开发人：狼骑士</t>
    <phoneticPr fontId="7" type="noConversion"/>
  </si>
  <si>
    <t>1、当修改某单元格值、增加新主键、删除主键时，开始运行会在对应的xlsx的批注中标记修改人。</t>
    <phoneticPr fontId="7" type="noConversion"/>
  </si>
  <si>
    <t>2、修改值时，程序将读取批注，并提示是否盖表，弹窗有3个选项。</t>
    <phoneticPr fontId="7" type="noConversion"/>
  </si>
  <si>
    <t>5.如果要修改的行包括其他人的数据单元格不能修改，需要保持原值，则填写: #Pass (跳过这个单元格不做任何修改)</t>
    <phoneticPr fontId="7" type="noConversion"/>
  </si>
  <si>
    <t>6.如果要将数据行插入或移动到指定主键行的下面，在控制列写“##我是那个指定的主键”(指定的主键必须存在)</t>
    <phoneticPr fontId="7" type="noConversion"/>
  </si>
  <si>
    <t>7.如果要对连续的N行使用如上指定位置功能，则在首行写“#指定主键名”，在尾行写“#End”(必须成对出现)</t>
    <phoneticPr fontId="7" type="noConversion"/>
  </si>
  <si>
    <t>清空旧有内容：</t>
    <phoneticPr fontId="7" type="noConversion"/>
  </si>
  <si>
    <t>5.表格中尽量减少无关数据列</t>
    <phoneticPr fontId="7" type="noConversion"/>
  </si>
  <si>
    <t>3.分页第一个单元格代表要和的目标表。第二个单元格代表当新建一行数据时若控制列为空，放到这个指定分页，若控制列和此值都为空，无法新建行。只修改值不需要填写。</t>
    <phoneticPr fontId="7" type="noConversion"/>
  </si>
  <si>
    <t>分支管理员专用：</t>
    <phoneticPr fontId="7" type="noConversion"/>
  </si>
  <si>
    <t>4、版本开发完成后，分支管理员需使用清理批注功能去除当前版本的批注，然后再合入master.</t>
    <phoneticPr fontId="7" type="noConversion"/>
  </si>
  <si>
    <t>合表类型：</t>
    <phoneticPr fontId="7" type="noConversion"/>
  </si>
  <si>
    <t>开发人：狼骑士</t>
    <phoneticPr fontId="7" type="noConversion"/>
  </si>
  <si>
    <t>普通合表：对于每一个版本内已经修改过的单元格，若存在盖表则进行提示并要求用户选择是否覆盖。</t>
    <phoneticPr fontId="7" type="noConversion"/>
  </si>
  <si>
    <t>强制合表：主要用于在少数情况下，需要大量盖表，该模式不会进行提示，合表后会统计盖表的单元格数量。</t>
    <phoneticPr fontId="7" type="noConversion"/>
  </si>
  <si>
    <t>用法说明：</t>
    <phoneticPr fontId="7" type="noConversion"/>
  </si>
  <si>
    <t>3、若修改前或修改后的值太长，会在弹窗中以省略号进行缩略。若选择盖表，程序将同步更新批注。</t>
    <phoneticPr fontId="7" type="noConversion"/>
  </si>
  <si>
    <t>该函数可以保持变量格式。考虑未来编写成vba按钮。</t>
    <phoneticPr fontId="7" type="noConversion"/>
  </si>
  <si>
    <t>翻译函数：</t>
    <phoneticPr fontId="7" type="noConversion"/>
  </si>
  <si>
    <t>翻译试试看${Num}</t>
    <phoneticPr fontId="7" type="noConversion"/>
  </si>
  <si>
    <t>是：确定盖表；否：跳过该单元格继续合表；取消：回滚冲突表的操作并结束合表流程（未冲突的表会进行保存）。</t>
    <phoneticPr fontId="7" type="noConversion"/>
  </si>
  <si>
    <t>精确合表</t>
  </si>
  <si>
    <t>控制列</t>
  </si>
  <si>
    <t>$</t>
  </si>
  <si>
    <t>string</t>
  </si>
  <si>
    <t>PRIMARY</t>
  </si>
  <si>
    <t>Translate</t>
    <phoneticPr fontId="23" type="noConversion"/>
  </si>
  <si>
    <t>标识</t>
  </si>
  <si>
    <t>文本</t>
    <phoneticPr fontId="23" type="noConversion"/>
  </si>
  <si>
    <t>备注</t>
  </si>
  <si>
    <t>C</t>
  </si>
  <si>
    <t>_id</t>
    <phoneticPr fontId="23" type="noConversion"/>
  </si>
  <si>
    <t>Text</t>
    <phoneticPr fontId="23" type="noConversion"/>
  </si>
  <si>
    <t>$Text</t>
    <phoneticPr fontId="23" type="noConversion"/>
  </si>
  <si>
    <t>HeroBase</t>
    <phoneticPr fontId="23" type="noConversion"/>
  </si>
  <si>
    <t>标识</t>
    <phoneticPr fontId="23" type="noConversion"/>
  </si>
  <si>
    <t>名字</t>
  </si>
  <si>
    <t>$备注说明</t>
  </si>
  <si>
    <t>是否显示</t>
  </si>
  <si>
    <t>资质</t>
  </si>
  <si>
    <t>阵营</t>
    <phoneticPr fontId="23" type="noConversion"/>
  </si>
  <si>
    <t>费用</t>
  </si>
  <si>
    <t>职业</t>
    <phoneticPr fontId="23" type="noConversion"/>
  </si>
  <si>
    <t>角色碎片</t>
  </si>
  <si>
    <t>被动技能</t>
    <phoneticPr fontId="23" type="noConversion"/>
  </si>
  <si>
    <t>普通攻击</t>
  </si>
  <si>
    <t>特殊技</t>
    <phoneticPr fontId="23" type="noConversion"/>
  </si>
  <si>
    <t>觉醒技</t>
    <phoneticPr fontId="23" type="noConversion"/>
  </si>
  <si>
    <t>角色属性</t>
  </si>
  <si>
    <t>基础属性类型</t>
  </si>
  <si>
    <t>基础属性值</t>
  </si>
  <si>
    <t>升级成长</t>
  </si>
  <si>
    <t>升品属性类型</t>
  </si>
  <si>
    <t>升品属性比例</t>
  </si>
  <si>
    <t>升星属性类型</t>
  </si>
  <si>
    <t>升星属性比例</t>
  </si>
  <si>
    <t>初始等级ID</t>
    <phoneticPr fontId="23" type="noConversion"/>
  </si>
  <si>
    <t>初始品质对应属性</t>
    <phoneticPr fontId="23" type="noConversion"/>
  </si>
  <si>
    <t>初始星级ID</t>
    <phoneticPr fontId="23" type="noConversion"/>
  </si>
  <si>
    <t>CV名字</t>
  </si>
  <si>
    <t>气泡文本列表</t>
    <phoneticPr fontId="23" type="noConversion"/>
  </si>
  <si>
    <t>角色语音列表</t>
    <phoneticPr fontId="23" type="noConversion"/>
  </si>
  <si>
    <t>皮肤列表</t>
  </si>
  <si>
    <t>角色简介</t>
    <phoneticPr fontId="23" type="noConversion"/>
  </si>
  <si>
    <t>初始觉醒ID</t>
    <phoneticPr fontId="7" type="noConversion"/>
  </si>
  <si>
    <t>CS</t>
  </si>
  <si>
    <t>CS</t>
    <phoneticPr fontId="23" type="noConversion"/>
  </si>
  <si>
    <t>C</t>
    <phoneticPr fontId="23" type="noConversion"/>
  </si>
  <si>
    <t>CS</t>
    <phoneticPr fontId="7" type="noConversion"/>
  </si>
  <si>
    <t>int</t>
  </si>
  <si>
    <t>string[]</t>
    <phoneticPr fontId="23" type="noConversion"/>
  </si>
  <si>
    <t>int[]</t>
    <phoneticPr fontId="23" type="noConversion"/>
  </si>
  <si>
    <t>double[]</t>
    <phoneticPr fontId="23" type="noConversion"/>
  </si>
  <si>
    <t>double[]</t>
  </si>
  <si>
    <t>string</t>
    <phoneticPr fontId="23" type="noConversion"/>
  </si>
  <si>
    <t>string[]</t>
  </si>
  <si>
    <t>string</t>
    <phoneticPr fontId="7" type="noConversion"/>
  </si>
  <si>
    <t>Name</t>
  </si>
  <si>
    <t>Show</t>
  </si>
  <si>
    <t>Rarity</t>
  </si>
  <si>
    <t>Party</t>
  </si>
  <si>
    <t>Cost</t>
  </si>
  <si>
    <t>Type</t>
  </si>
  <si>
    <t>Fragment</t>
  </si>
  <si>
    <t>PassiveSkill</t>
    <phoneticPr fontId="23" type="noConversion"/>
  </si>
  <si>
    <t>NormalSkill</t>
    <phoneticPr fontId="23" type="noConversion"/>
  </si>
  <si>
    <t>SpecialSkill</t>
    <phoneticPr fontId="23" type="noConversion"/>
  </si>
  <si>
    <t>UniqueSkill</t>
    <phoneticPr fontId="23" type="noConversion"/>
  </si>
  <si>
    <t>HeroAttr</t>
  </si>
  <si>
    <t>PropName</t>
    <phoneticPr fontId="23" type="noConversion"/>
  </si>
  <si>
    <t>PropValue</t>
    <phoneticPr fontId="23" type="noConversion"/>
  </si>
  <si>
    <t>GrowLevelSn</t>
    <phoneticPr fontId="23" type="noConversion"/>
  </si>
  <si>
    <t>QualityProp</t>
    <phoneticPr fontId="23" type="noConversion"/>
  </si>
  <si>
    <t>QualityRate</t>
    <phoneticPr fontId="23" type="noConversion"/>
  </si>
  <si>
    <t>StarRateProp</t>
    <phoneticPr fontId="23" type="noConversion"/>
  </si>
  <si>
    <t>StarRate</t>
  </si>
  <si>
    <t>StartLevelSn</t>
    <phoneticPr fontId="23" type="noConversion"/>
  </si>
  <si>
    <t>BaseQualityAttr</t>
  </si>
  <si>
    <t>StartStar</t>
    <phoneticPr fontId="23" type="noConversion"/>
  </si>
  <si>
    <t>CVName</t>
  </si>
  <si>
    <t>BubbleList</t>
    <phoneticPr fontId="23" type="noConversion"/>
  </si>
  <si>
    <t>HeroVoice</t>
  </si>
  <si>
    <t>SurfaceList</t>
  </si>
  <si>
    <t>HeroShowIntro</t>
  </si>
  <si>
    <t>StartAwaken</t>
    <phoneticPr fontId="7" type="noConversion"/>
  </si>
  <si>
    <t>FOREIGN:Translate._id</t>
    <phoneticPr fontId="23" type="noConversion"/>
  </si>
  <si>
    <t>FOREIGN:Skill.Id</t>
  </si>
  <si>
    <t>FOREIGN:Skill._id</t>
    <phoneticPr fontId="23" type="noConversion"/>
  </si>
  <si>
    <t>FOREIGN:HeroAttr._id</t>
    <phoneticPr fontId="23" type="noConversion"/>
  </si>
  <si>
    <t>FOREIGN:AttrConfig_id</t>
    <phoneticPr fontId="23" type="noConversion"/>
  </si>
  <si>
    <t>FOREIGN:HeroGrow_id</t>
    <phoneticPr fontId="23" type="noConversion"/>
  </si>
  <si>
    <t>FOREIGN:HeroExp.Id</t>
    <phoneticPr fontId="23" type="noConversion"/>
  </si>
  <si>
    <t>FOREIGN:HeroQuality._id</t>
    <phoneticPr fontId="23" type="noConversion"/>
  </si>
  <si>
    <t>FOREIGN:HeroStarEffect._id</t>
    <phoneticPr fontId="23" type="noConversion"/>
  </si>
  <si>
    <t>FOREIGN:Translate.Id</t>
  </si>
  <si>
    <t>FOREIGN:Sound._id</t>
    <phoneticPr fontId="23" type="noConversion"/>
  </si>
  <si>
    <t>FOREIGN:SurfaceConfig._id</t>
  </si>
  <si>
    <t>JMi</t>
  </si>
  <si>
    <t>JMi_Name</t>
  </si>
  <si>
    <t>嘉米</t>
  </si>
  <si>
    <t>IHF_JMi</t>
  </si>
  <si>
    <t>Skill_Passive_JMi</t>
  </si>
  <si>
    <t>Skill_Normal_JMi</t>
  </si>
  <si>
    <t>Skill_Special_JMi</t>
  </si>
  <si>
    <t>Skill_Unique_JMi</t>
  </si>
  <si>
    <t>JMi_Attr</t>
  </si>
  <si>
    <t>[ATK,DEF,MAXHP]</t>
  </si>
  <si>
    <t>[100,10,200]</t>
  </si>
  <si>
    <t>[1.5,1,1]</t>
  </si>
  <si>
    <t>[1.5,4,2]</t>
  </si>
  <si>
    <t>SR_10_Attack</t>
  </si>
  <si>
    <t>SR_2</t>
    <phoneticPr fontId="23" type="noConversion"/>
  </si>
  <si>
    <t>Intro_JMi</t>
  </si>
  <si>
    <t>DWZXi</t>
  </si>
  <si>
    <t>DWZXi_Name</t>
  </si>
  <si>
    <t>东文真希</t>
  </si>
  <si>
    <t>IHF_DWZXi</t>
  </si>
  <si>
    <t>DWZXi_Name</t>
    <phoneticPr fontId="7" type="noConversion"/>
  </si>
  <si>
    <t>FOREIGN:ItemConfig._id</t>
    <phoneticPr fontId="7" type="noConversion"/>
  </si>
  <si>
    <t>ItemConfig</t>
    <phoneticPr fontId="7" type="noConversion"/>
  </si>
  <si>
    <t>标识</t>
    <phoneticPr fontId="24" type="noConversion"/>
  </si>
  <si>
    <t>名字</t>
    <phoneticPr fontId="24" type="noConversion"/>
  </si>
  <si>
    <t>$备注说明</t>
    <phoneticPr fontId="24" type="noConversion"/>
  </si>
  <si>
    <t>功能描述</t>
    <phoneticPr fontId="23" type="noConversion"/>
  </si>
  <si>
    <t>$备注</t>
    <phoneticPr fontId="24" type="noConversion"/>
  </si>
  <si>
    <t>包装文本</t>
    <phoneticPr fontId="24" type="noConversion"/>
  </si>
  <si>
    <t>是否在背包可见</t>
  </si>
  <si>
    <t>页签</t>
    <phoneticPr fontId="23" type="noConversion"/>
  </si>
  <si>
    <t>道具类型</t>
    <phoneticPr fontId="24" type="noConversion"/>
  </si>
  <si>
    <t>类型名称</t>
    <phoneticPr fontId="23" type="noConversion"/>
  </si>
  <si>
    <t>图标</t>
    <phoneticPr fontId="24" type="noConversion"/>
  </si>
  <si>
    <t>道具品质</t>
    <phoneticPr fontId="24" type="noConversion"/>
  </si>
  <si>
    <t>获得对应奖励</t>
    <phoneticPr fontId="23" type="noConversion"/>
  </si>
  <si>
    <t>奖励参数</t>
    <phoneticPr fontId="23" type="noConversion"/>
  </si>
  <si>
    <t>最大持有数量</t>
    <phoneticPr fontId="23" type="noConversion"/>
  </si>
  <si>
    <t>来源</t>
  </si>
  <si>
    <t>货币类型</t>
    <phoneticPr fontId="24" type="noConversion"/>
  </si>
  <si>
    <t>价格</t>
    <phoneticPr fontId="24" type="noConversion"/>
  </si>
  <si>
    <t>碎片对应角色ID</t>
    <phoneticPr fontId="23" type="noConversion"/>
  </si>
  <si>
    <t>是否可以批量使用</t>
  </si>
  <si>
    <t>获得时立刻使用</t>
  </si>
  <si>
    <t>背包中是否发光</t>
  </si>
  <si>
    <t>排序号</t>
  </si>
  <si>
    <t>CS</t>
    <phoneticPr fontId="24" type="noConversion"/>
  </si>
  <si>
    <t>$</t>
    <phoneticPr fontId="7" type="noConversion"/>
  </si>
  <si>
    <t>$</t>
    <phoneticPr fontId="24" type="noConversion"/>
  </si>
  <si>
    <t>C</t>
    <phoneticPr fontId="24" type="noConversion"/>
  </si>
  <si>
    <t>string</t>
    <phoneticPr fontId="24" type="noConversion"/>
  </si>
  <si>
    <t>$</t>
    <phoneticPr fontId="23" type="noConversion"/>
  </si>
  <si>
    <t>_id</t>
    <phoneticPr fontId="24" type="noConversion"/>
  </si>
  <si>
    <t>Name</t>
    <phoneticPr fontId="24" type="noConversion"/>
  </si>
  <si>
    <t>$Name</t>
    <phoneticPr fontId="23" type="noConversion"/>
  </si>
  <si>
    <t>FunctionDesc</t>
    <phoneticPr fontId="23" type="noConversion"/>
  </si>
  <si>
    <t>$FunctionDesc</t>
    <phoneticPr fontId="23" type="noConversion"/>
  </si>
  <si>
    <t>StoryDesc</t>
    <phoneticPr fontId="24" type="noConversion"/>
  </si>
  <si>
    <t>$StoryDesc</t>
    <phoneticPr fontId="23" type="noConversion"/>
  </si>
  <si>
    <t>Visible</t>
    <phoneticPr fontId="23" type="noConversion"/>
  </si>
  <si>
    <t>Page</t>
  </si>
  <si>
    <t>Type</t>
    <phoneticPr fontId="24" type="noConversion"/>
  </si>
  <si>
    <t>TypeName</t>
    <phoneticPr fontId="23" type="noConversion"/>
  </si>
  <si>
    <t>$TypeNameName</t>
    <phoneticPr fontId="23" type="noConversion"/>
  </si>
  <si>
    <t>Icon</t>
    <phoneticPr fontId="24" type="noConversion"/>
  </si>
  <si>
    <t>Quality</t>
    <phoneticPr fontId="24" type="noConversion"/>
  </si>
  <si>
    <t>Reward</t>
    <phoneticPr fontId="23" type="noConversion"/>
  </si>
  <si>
    <t>Parameter</t>
    <phoneticPr fontId="24" type="noConversion"/>
  </si>
  <si>
    <t>MaxPile</t>
  </si>
  <si>
    <t>Resource</t>
    <phoneticPr fontId="7" type="noConversion"/>
  </si>
  <si>
    <t>Money</t>
    <phoneticPr fontId="24" type="noConversion"/>
  </si>
  <si>
    <t>Price</t>
    <phoneticPr fontId="24" type="noConversion"/>
  </si>
  <si>
    <t>TargetId</t>
  </si>
  <si>
    <t>MultiUse</t>
  </si>
  <si>
    <t>UseAtOnce</t>
  </si>
  <si>
    <t>ShinePack</t>
  </si>
  <si>
    <t>Sort</t>
  </si>
  <si>
    <t>PRIMARY</t>
    <phoneticPr fontId="23" type="noConversion"/>
  </si>
  <si>
    <t>FOREIGN:Translate._id</t>
  </si>
  <si>
    <t>FOREIGN:RewardConfig._id</t>
    <phoneticPr fontId="23" type="noConversion"/>
  </si>
  <si>
    <t>FOREIGN:ItemResource._id</t>
    <phoneticPr fontId="7" type="noConversion"/>
  </si>
  <si>
    <t>FOREIGN:HeroBase._id</t>
    <phoneticPr fontId="23" type="noConversion"/>
  </si>
  <si>
    <t>IMF_Master_XueZhan</t>
  </si>
  <si>
    <t>一号主角碎片</t>
  </si>
  <si>
    <t>集齐X个可召唤主角</t>
  </si>
  <si>
    <t>一号的碎片，快去和她链接吧</t>
  </si>
  <si>
    <t>主角碎片</t>
  </si>
  <si>
    <t>IB_RHeroF_R</t>
  </si>
  <si>
    <t>[IMF_Master_XueZhan_1]</t>
  </si>
  <si>
    <t>DWZXi_Attr</t>
  </si>
  <si>
    <t>DWZXi_Attr</t>
    <phoneticPr fontId="7" type="noConversion"/>
  </si>
  <si>
    <t>HeroAttrConfig</t>
    <phoneticPr fontId="24" type="noConversion"/>
  </si>
  <si>
    <t>id</t>
  </si>
  <si>
    <t>初始战力</t>
  </si>
  <si>
    <t>攻击</t>
  </si>
  <si>
    <t>最大生命值</t>
  </si>
  <si>
    <t>防御</t>
  </si>
  <si>
    <t>最大怒气</t>
  </si>
  <si>
    <t>初始怒气</t>
  </si>
  <si>
    <t>被击回怒率</t>
  </si>
  <si>
    <t>出手怒气</t>
  </si>
  <si>
    <t>每秒回怒</t>
  </si>
  <si>
    <t>回怒率</t>
  </si>
  <si>
    <t>暴击率</t>
  </si>
  <si>
    <t>暴击强度</t>
  </si>
  <si>
    <t>抗暴率</t>
  </si>
  <si>
    <t>抗暴击强度</t>
  </si>
  <si>
    <t>吸血率</t>
  </si>
  <si>
    <t>反伤率</t>
  </si>
  <si>
    <t>伤害率</t>
  </si>
  <si>
    <t>免伤率</t>
  </si>
  <si>
    <t>治疗率</t>
  </si>
  <si>
    <t>被治疗率</t>
  </si>
  <si>
    <t>格挡率</t>
  </si>
  <si>
    <t>格挡强度</t>
  </si>
  <si>
    <t>抗格率</t>
  </si>
  <si>
    <t>连击率</t>
  </si>
  <si>
    <t>反击率</t>
  </si>
  <si>
    <t>免死率</t>
  </si>
  <si>
    <t>闪避率</t>
  </si>
  <si>
    <t>命中率</t>
  </si>
  <si>
    <t>先手值</t>
  </si>
  <si>
    <t>斩杀率</t>
  </si>
  <si>
    <t>AppType.ClientH</t>
  </si>
  <si>
    <t>double</t>
  </si>
  <si>
    <t>_id</t>
  </si>
  <si>
    <t>InitialCombat</t>
  </si>
  <si>
    <t>ATK</t>
  </si>
  <si>
    <t>MAXHP</t>
  </si>
  <si>
    <t>DEF</t>
  </si>
  <si>
    <t>MAXER</t>
  </si>
  <si>
    <t>IER</t>
  </si>
  <si>
    <t>ATKER</t>
  </si>
  <si>
    <t>MER</t>
  </si>
  <si>
    <t>GER</t>
  </si>
  <si>
    <t>ERR</t>
  </si>
  <si>
    <t>CC</t>
  </si>
  <si>
    <t>CRI</t>
  </si>
  <si>
    <t>RC</t>
  </si>
  <si>
    <t>RCI</t>
  </si>
  <si>
    <t>BSR</t>
  </si>
  <si>
    <t>THN</t>
  </si>
  <si>
    <t>DE</t>
  </si>
  <si>
    <t>DIR</t>
  </si>
  <si>
    <t>HEL</t>
  </si>
  <si>
    <t>HELD</t>
  </si>
  <si>
    <t>BLK</t>
  </si>
  <si>
    <t>BLKI</t>
  </si>
  <si>
    <t>RBR</t>
  </si>
  <si>
    <t>COMBO</t>
  </si>
  <si>
    <t>CATK</t>
  </si>
  <si>
    <t>AVD</t>
  </si>
  <si>
    <t>EVA</t>
  </si>
  <si>
    <t>ACC</t>
  </si>
  <si>
    <t>SPD</t>
  </si>
  <si>
    <t>SLAY</t>
  </si>
  <si>
    <t>HXi_Attr</t>
  </si>
  <si>
    <t>SR_2</t>
  </si>
  <si>
    <t>JMi_CVName</t>
    <phoneticPr fontId="7" type="noConversion"/>
  </si>
  <si>
    <t>DWXi_CVName</t>
  </si>
  <si>
    <t>DWXi_CVName</t>
    <phoneticPr fontId="7" type="noConversion"/>
  </si>
  <si>
    <t>[Bubble_JMi_1]</t>
    <phoneticPr fontId="7" type="noConversion"/>
  </si>
  <si>
    <t>[Bubble_DWZXi_1]</t>
    <phoneticPr fontId="7" type="noConversion"/>
  </si>
  <si>
    <t>FOREIGN:Translate.Id</t>
    <phoneticPr fontId="7" type="noConversion"/>
  </si>
  <si>
    <t>Bubble_DWZXi_1</t>
  </si>
  <si>
    <t>[Surface_JMi_0]</t>
    <phoneticPr fontId="7" type="noConversion"/>
  </si>
  <si>
    <t>[Surface_DWZXi_0]</t>
    <phoneticPr fontId="7" type="noConversion"/>
  </si>
  <si>
    <t>SurfaceConfig</t>
    <phoneticPr fontId="23" type="noConversion"/>
  </si>
  <si>
    <t>id</t>
    <phoneticPr fontId="24" type="noConversion"/>
  </si>
  <si>
    <t>所属角色</t>
    <phoneticPr fontId="7" type="noConversion"/>
  </si>
  <si>
    <t>模型</t>
    <phoneticPr fontId="7" type="noConversion"/>
  </si>
  <si>
    <t>皮肤名</t>
    <phoneticPr fontId="23" type="noConversion"/>
  </si>
  <si>
    <t>皮肤描述</t>
    <phoneticPr fontId="23" type="noConversion"/>
  </si>
  <si>
    <t>Hero</t>
    <phoneticPr fontId="7" type="noConversion"/>
  </si>
  <si>
    <t>Model</t>
    <phoneticPr fontId="7" type="noConversion"/>
  </si>
  <si>
    <t>SurfaceName</t>
    <phoneticPr fontId="23" type="noConversion"/>
  </si>
  <si>
    <t>SurfaceDesc</t>
    <phoneticPr fontId="23" type="noConversion"/>
  </si>
  <si>
    <t>FOREIGN:RoleModel.Id</t>
  </si>
  <si>
    <t>Surface_HXi_0</t>
  </si>
  <si>
    <t>HXi</t>
  </si>
  <si>
    <t>Model_HXi</t>
  </si>
  <si>
    <t>破碎的爱</t>
  </si>
  <si>
    <t>爱情是一块破碎的衣裙，我穿上的瞬间又遇见了你。</t>
  </si>
  <si>
    <t>Surface_DWZXi_0</t>
  </si>
  <si>
    <t>默认皮肤</t>
  </si>
  <si>
    <t>默认皮肤</t>
    <phoneticPr fontId="7" type="noConversion"/>
  </si>
  <si>
    <t>SR</t>
    <phoneticPr fontId="7" type="noConversion"/>
  </si>
  <si>
    <t>SP1_0</t>
    <phoneticPr fontId="7" type="noConversion"/>
  </si>
  <si>
    <t>HeroAwaken</t>
    <phoneticPr fontId="7" type="noConversion"/>
  </si>
  <si>
    <t>当前层ID</t>
    <phoneticPr fontId="7" type="noConversion"/>
  </si>
  <si>
    <t>下一层ID</t>
    <phoneticPr fontId="23" type="noConversion"/>
  </si>
  <si>
    <t>上一层ID</t>
  </si>
  <si>
    <t>对应角色ID</t>
    <phoneticPr fontId="23" type="noConversion"/>
  </si>
  <si>
    <t>升到下一层消耗碎片数量</t>
    <phoneticPr fontId="23" type="noConversion"/>
  </si>
  <si>
    <t>升到下一层消耗粉尘数量</t>
    <phoneticPr fontId="23" type="noConversion"/>
  </si>
  <si>
    <t>升下一层要求好感等级</t>
    <phoneticPr fontId="23" type="noConversion"/>
  </si>
  <si>
    <t>升到当前觉醒属性类型</t>
    <phoneticPr fontId="23" type="noConversion"/>
  </si>
  <si>
    <t>升到当前觉醒属性最终值</t>
  </si>
  <si>
    <t>当前觉醒增加升级效果类型</t>
    <phoneticPr fontId="23" type="noConversion"/>
  </si>
  <si>
    <t>当前觉醒增加升级效果比例</t>
    <phoneticPr fontId="23" type="noConversion"/>
  </si>
  <si>
    <t>皮肤ID</t>
    <phoneticPr fontId="7" type="noConversion"/>
  </si>
  <si>
    <t>int</t>
    <phoneticPr fontId="23" type="noConversion"/>
  </si>
  <si>
    <t>int[]</t>
  </si>
  <si>
    <t>NextId</t>
    <phoneticPr fontId="23" type="noConversion"/>
  </si>
  <si>
    <t>LastId</t>
  </si>
  <si>
    <t>HeroId</t>
    <phoneticPr fontId="23" type="noConversion"/>
  </si>
  <si>
    <t>CostFrag</t>
    <phoneticPr fontId="23" type="noConversion"/>
  </si>
  <si>
    <t>CostStive</t>
    <phoneticPr fontId="23" type="noConversion"/>
  </si>
  <si>
    <t>NeedLove</t>
    <phoneticPr fontId="7" type="noConversion"/>
  </si>
  <si>
    <t>AttrType</t>
    <phoneticPr fontId="23" type="noConversion"/>
  </si>
  <si>
    <t>AttrValue</t>
  </si>
  <si>
    <t>AttrGrowType</t>
    <phoneticPr fontId="23" type="noConversion"/>
  </si>
  <si>
    <t>AttrGrowValue</t>
    <phoneticPr fontId="23" type="noConversion"/>
  </si>
  <si>
    <t>Surface_id</t>
  </si>
  <si>
    <t>FOREIGN:Surface._id</t>
  </si>
  <si>
    <t>XGe_0</t>
  </si>
  <si>
    <t>XGe_1</t>
  </si>
  <si>
    <t>XGe</t>
  </si>
  <si>
    <t>红底的直接复制就行</t>
    <phoneticPr fontId="7" type="noConversion"/>
  </si>
  <si>
    <t>绿底让战斗（希贤）来配</t>
    <phoneticPr fontId="7" type="noConversion"/>
  </si>
  <si>
    <t>蓝底只需要引用ID</t>
    <phoneticPr fontId="7" type="noConversion"/>
  </si>
  <si>
    <t>IHF_DWZXi</t>
    <phoneticPr fontId="7" type="noConversion"/>
  </si>
  <si>
    <t>IMF_Master_XueZhan_Name</t>
    <phoneticPr fontId="7" type="noConversion"/>
  </si>
  <si>
    <t>IHF_DWZXi_Name</t>
  </si>
  <si>
    <t>IHF_DWZXi_Name</t>
    <phoneticPr fontId="7" type="noConversion"/>
  </si>
  <si>
    <t>IMF_Master_XueZhan_FunctionDesc</t>
    <phoneticPr fontId="7" type="noConversion"/>
  </si>
  <si>
    <t>IHF_DWZXi_FunctionDesc</t>
    <phoneticPr fontId="7" type="noConversion"/>
  </si>
  <si>
    <t>IMF_Master_XueZhan_StoryDesc</t>
    <phoneticPr fontId="7" type="noConversion"/>
  </si>
  <si>
    <t>IHF_DWZXi_StoryDesc</t>
    <phoneticPr fontId="7" type="noConversion"/>
  </si>
  <si>
    <t>6002_Name</t>
    <phoneticPr fontId="7" type="noConversion"/>
  </si>
  <si>
    <t>6001_Name</t>
    <phoneticPr fontId="7" type="noConversion"/>
  </si>
  <si>
    <t>DWZXi</t>
    <phoneticPr fontId="7" type="noConversion"/>
  </si>
  <si>
    <t>1.一定要用合表配置</t>
    <phoneticPr fontId="7" type="noConversion"/>
  </si>
  <si>
    <t>2.从Herobase表开始</t>
    <phoneticPr fontId="7" type="noConversion"/>
  </si>
  <si>
    <t>3.美术资源先确认用已有的这四个角色还是让美术导入新的模型、立绘</t>
    <phoneticPr fontId="7" type="noConversion"/>
  </si>
  <si>
    <t>4.绿底让战斗（希贤）来配</t>
    <phoneticPr fontId="7" type="noConversion"/>
  </si>
  <si>
    <t>5.红底的，只作测试用的话直接复制就行</t>
    <phoneticPr fontId="7" type="noConversion"/>
  </si>
  <si>
    <t>6.蓝底的直接调用其他表ID，不用改表</t>
    <phoneticPr fontId="7" type="noConversion"/>
  </si>
  <si>
    <t>7.B2这个格要填上第一行有效文本的页签名</t>
    <phoneticPr fontId="7" type="noConversion"/>
  </si>
  <si>
    <t>8.每一行的控制列都要填上页签名</t>
    <phoneticPr fontId="7" type="noConversion"/>
  </si>
  <si>
    <t>注意事项:</t>
    <phoneticPr fontId="7" type="noConversion"/>
  </si>
  <si>
    <t>int</t>
    <phoneticPr fontId="7" type="noConversion"/>
  </si>
  <si>
    <t>不重复就好</t>
    <phoneticPr fontId="7" type="noConversion"/>
  </si>
  <si>
    <t>DWZXi</t>
    <phoneticPr fontId="7" type="noConversion"/>
  </si>
  <si>
    <t>Model_DWZXi</t>
    <phoneticPr fontId="7" type="noConversion"/>
  </si>
  <si>
    <t>RoleModel</t>
    <phoneticPr fontId="23" type="noConversion"/>
  </si>
  <si>
    <t>模型资源</t>
  </si>
  <si>
    <t>立绘资源</t>
  </si>
  <si>
    <t>头像</t>
  </si>
  <si>
    <t>未觉醒时立绘</t>
    <phoneticPr fontId="7" type="noConversion"/>
  </si>
  <si>
    <t>C</t>
    <phoneticPr fontId="7" type="noConversion"/>
  </si>
  <si>
    <t>Model</t>
  </si>
  <si>
    <t>Filename</t>
  </si>
  <si>
    <t>HeadIcon</t>
  </si>
  <si>
    <t>Unawaken</t>
    <phoneticPr fontId="7" type="noConversion"/>
  </si>
  <si>
    <t>Model_HXi</t>
    <phoneticPr fontId="23" type="noConversion"/>
  </si>
  <si>
    <t>赫茜</t>
    <phoneticPr fontId="23" type="noConversion"/>
  </si>
  <si>
    <t>HXi</t>
    <phoneticPr fontId="23" type="noConversion"/>
  </si>
  <si>
    <t>portrait_HXi</t>
    <phoneticPr fontId="23" type="noConversion"/>
  </si>
  <si>
    <t>head_HXi</t>
    <phoneticPr fontId="23" type="noConversion"/>
  </si>
  <si>
    <t>Surface_HXi_0_Name</t>
    <phoneticPr fontId="7" type="noConversion"/>
  </si>
  <si>
    <t>Surface_DWZXi_0_Name</t>
    <phoneticPr fontId="7" type="noConversion"/>
  </si>
  <si>
    <t>Surface_HXi_0_Desc</t>
    <phoneticPr fontId="7" type="noConversion"/>
  </si>
  <si>
    <t>Surface_DWZXi_0_Desc</t>
    <phoneticPr fontId="7" type="noConversion"/>
  </si>
  <si>
    <t>SP1_1</t>
  </si>
  <si>
    <t>SP1_2</t>
  </si>
  <si>
    <t>SP1_3</t>
  </si>
  <si>
    <t>SP1</t>
  </si>
  <si>
    <t>[2000,200,6000]</t>
  </si>
  <si>
    <t>[6,6,6]</t>
  </si>
  <si>
    <t>[3000,300,7000]</t>
  </si>
  <si>
    <t>[7,7,7]</t>
  </si>
  <si>
    <t>[4000,400,8000]</t>
  </si>
  <si>
    <t>[8,8,8]</t>
  </si>
  <si>
    <t>SP1</t>
    <phoneticPr fontId="7" type="noConversion"/>
  </si>
  <si>
    <t>Model_SP1</t>
    <phoneticPr fontId="7" type="noConversion"/>
  </si>
  <si>
    <t>Surface_XGe_Awaken</t>
    <phoneticPr fontId="7" type="noConversion"/>
  </si>
  <si>
    <t>Surface_SP1_Awaken</t>
    <phoneticPr fontId="7" type="noConversion"/>
  </si>
  <si>
    <t>Surface_SP1_Awaken_Name</t>
    <phoneticPr fontId="7" type="noConversion"/>
  </si>
  <si>
    <t>Surface_SP1_Awaken_Desc</t>
    <phoneticPr fontId="7" type="noConversion"/>
  </si>
  <si>
    <t>东文真希</t>
    <phoneticPr fontId="7" type="noConversion"/>
  </si>
  <si>
    <t>测试SP角色1</t>
    <phoneticPr fontId="7" type="noConversion"/>
  </si>
  <si>
    <t>Model_DWZXi</t>
    <phoneticPr fontId="7" type="noConversion"/>
  </si>
  <si>
    <t>E:\vampire\src\Configs\TestHeroAdd</t>
    <phoneticPr fontId="7" type="noConversion"/>
  </si>
  <si>
    <t>填自己的名字，选一种自己的底色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</si>
</sst>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9"/>
      <name val="宋体"/>
      <family val="2"/>
      <charset val="134"/>
    </font>
    <font>
      <b/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indexed="8"/>
      <name val="宋体"/>
      <family val="3"/>
      <charset val="134"/>
    </font>
    <font>
      <sz val="11"/>
      <color rgb="FF3F3F76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006100"/>
      <name val="宋体"/>
      <family val="3"/>
      <charset val="134"/>
    </font>
    <font>
      <sz val="11"/>
      <color rgb="FF000000"/>
      <name val="Calibri"/>
      <family val="2"/>
    </font>
    <font>
      <sz val="11"/>
      <color rgb="FF9C0006"/>
      <name val="等线"/>
      <family val="2"/>
      <charset val="134"/>
      <scheme val="minor"/>
    </font>
    <font>
      <sz val="11"/>
      <color theme="1"/>
      <name val="微软雅黑"/>
      <family val="2"/>
      <charset val="134"/>
    </font>
    <font>
      <sz val="11"/>
      <color rgb="FF9C0006"/>
      <name val="等线"/>
      <family val="3"/>
      <charset val="134"/>
      <scheme val="minor"/>
    </font>
    <font>
      <sz val="11"/>
      <color indexed="9"/>
      <name val="宋体"/>
      <family val="3"/>
      <charset val="134"/>
    </font>
    <font>
      <sz val="9"/>
      <name val="等线"/>
      <family val="3"/>
      <charset val="134"/>
      <scheme val="minor"/>
    </font>
    <font>
      <sz val="9"/>
      <name val="宋体"/>
      <family val="3"/>
      <charset val="134"/>
    </font>
    <font>
      <sz val="11"/>
      <color rgb="FF006100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11"/>
      <color rgb="FFFF0000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9"/>
      <name val="宋体"/>
      <family val="3"/>
      <charset val="134"/>
    </font>
    <font>
      <sz val="11"/>
      <color theme="0"/>
      <name val="宋体"/>
      <family val="3"/>
      <charset val="134"/>
    </font>
    <font>
      <sz val="11"/>
      <name val="宋体"/>
      <family val="3"/>
      <charset val="134"/>
    </font>
    <font>
      <sz val="12"/>
      <color rgb="FF333333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</patternFill>
    </fill>
    <fill>
      <patternFill patternType="solid">
        <fgColor theme="7" tint="0.3999755851924192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indexed="8"/>
        <bgColor indexed="8"/>
      </patternFill>
    </fill>
    <fill>
      <patternFill patternType="solid">
        <fgColor indexed="63"/>
        <bgColor indexed="8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22"/>
      </bottom>
      <diagonal/>
    </border>
  </borders>
  <cellStyleXfs count="31">
    <xf numFmtId="0" fontId="0" fillId="0" borderId="0">
      <alignment vertical="center"/>
    </xf>
    <xf numFmtId="0" fontId="10" fillId="0" borderId="0">
      <alignment vertical="center"/>
    </xf>
    <xf numFmtId="0" fontId="11" fillId="0" borderId="0"/>
    <xf numFmtId="0" fontId="12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4" borderId="2" applyNumberFormat="0" applyAlignment="0" applyProtection="0">
      <alignment vertical="center"/>
    </xf>
    <xf numFmtId="0" fontId="15" fillId="0" borderId="0">
      <alignment vertical="center"/>
    </xf>
    <xf numFmtId="0" fontId="16" fillId="0" borderId="0"/>
    <xf numFmtId="0" fontId="17" fillId="5" borderId="0">
      <alignment vertical="center"/>
    </xf>
    <xf numFmtId="0" fontId="5" fillId="0" borderId="0"/>
    <xf numFmtId="0" fontId="4" fillId="0" borderId="0"/>
    <xf numFmtId="0" fontId="18" fillId="0" borderId="0"/>
    <xf numFmtId="0" fontId="3" fillId="0" borderId="0"/>
    <xf numFmtId="0" fontId="2" fillId="0" borderId="0"/>
    <xf numFmtId="0" fontId="2" fillId="0" borderId="0"/>
    <xf numFmtId="0" fontId="19" fillId="6" borderId="0" applyNumberFormat="0" applyBorder="0" applyAlignment="0" applyProtection="0">
      <alignment vertical="center"/>
    </xf>
    <xf numFmtId="0" fontId="10" fillId="0" borderId="0">
      <alignment vertical="center"/>
    </xf>
    <xf numFmtId="0" fontId="1" fillId="0" borderId="0"/>
    <xf numFmtId="0" fontId="1" fillId="0" borderId="0"/>
    <xf numFmtId="0" fontId="1" fillId="0" borderId="0"/>
    <xf numFmtId="0" fontId="15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20" fillId="0" borderId="0">
      <alignment vertical="center"/>
    </xf>
    <xf numFmtId="0" fontId="25" fillId="10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</cellStyleXfs>
  <cellXfs count="39">
    <xf numFmtId="0" fontId="0" fillId="0" borderId="0" xfId="0">
      <alignment vertical="center"/>
    </xf>
    <xf numFmtId="0" fontId="8" fillId="0" borderId="1" xfId="0" applyFont="1" applyBorder="1" applyAlignment="1">
      <alignment horizontal="center" vertical="center"/>
    </xf>
    <xf numFmtId="0" fontId="8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21" fillId="7" borderId="1" xfId="20" applyFont="1" applyFill="1" applyBorder="1" applyAlignment="1">
      <alignment horizontal="center" vertical="center"/>
    </xf>
    <xf numFmtId="0" fontId="0" fillId="0" borderId="0" xfId="0" applyAlignment="1"/>
    <xf numFmtId="49" fontId="22" fillId="8" borderId="3" xfId="0" applyNumberFormat="1" applyFont="1" applyFill="1" applyBorder="1" applyAlignment="1">
      <alignment horizontal="left" vertical="center"/>
    </xf>
    <xf numFmtId="49" fontId="22" fillId="8" borderId="0" xfId="0" applyNumberFormat="1" applyFont="1" applyFill="1" applyAlignment="1">
      <alignment horizontal="left" vertical="center"/>
    </xf>
    <xf numFmtId="49" fontId="22" fillId="9" borderId="0" xfId="0" applyNumberFormat="1" applyFont="1" applyFill="1" applyAlignment="1">
      <alignment horizontal="left" vertical="center"/>
    </xf>
    <xf numFmtId="0" fontId="15" fillId="0" borderId="0" xfId="0" applyFont="1">
      <alignment vertical="center"/>
    </xf>
    <xf numFmtId="0" fontId="28" fillId="0" borderId="0" xfId="0" applyFont="1">
      <alignment vertical="center"/>
    </xf>
    <xf numFmtId="49" fontId="22" fillId="12" borderId="3" xfId="0" applyNumberFormat="1" applyFont="1" applyFill="1" applyBorder="1" applyAlignment="1">
      <alignment horizontal="left" vertical="center"/>
    </xf>
    <xf numFmtId="49" fontId="22" fillId="12" borderId="0" xfId="0" applyNumberFormat="1" applyFont="1" applyFill="1" applyAlignment="1">
      <alignment horizontal="left" vertical="center"/>
    </xf>
    <xf numFmtId="49" fontId="22" fillId="13" borderId="0" xfId="0" applyNumberFormat="1" applyFont="1" applyFill="1" applyAlignment="1">
      <alignment horizontal="left" vertical="center"/>
    </xf>
    <xf numFmtId="49" fontId="31" fillId="12" borderId="3" xfId="0" applyNumberFormat="1" applyFont="1" applyFill="1" applyBorder="1" applyAlignment="1">
      <alignment horizontal="left" vertical="center"/>
    </xf>
    <xf numFmtId="49" fontId="31" fillId="8" borderId="3" xfId="0" applyNumberFormat="1" applyFont="1" applyFill="1" applyBorder="1" applyAlignment="1">
      <alignment horizontal="left" vertical="center"/>
    </xf>
    <xf numFmtId="49" fontId="31" fillId="12" borderId="0" xfId="0" applyNumberFormat="1" applyFont="1" applyFill="1" applyAlignment="1">
      <alignment horizontal="left" vertical="center"/>
    </xf>
    <xf numFmtId="49" fontId="31" fillId="8" borderId="0" xfId="0" applyNumberFormat="1" applyFont="1" applyFill="1" applyAlignment="1">
      <alignment horizontal="left" vertical="center"/>
    </xf>
    <xf numFmtId="49" fontId="31" fillId="13" borderId="0" xfId="0" applyNumberFormat="1" applyFont="1" applyFill="1" applyAlignment="1">
      <alignment horizontal="left" vertical="center"/>
    </xf>
    <xf numFmtId="49" fontId="31" fillId="9" borderId="0" xfId="0" applyNumberFormat="1" applyFont="1" applyFill="1" applyAlignment="1">
      <alignment horizontal="left" vertical="center"/>
    </xf>
    <xf numFmtId="49" fontId="22" fillId="12" borderId="0" xfId="11" applyNumberFormat="1" applyFont="1" applyFill="1" applyAlignment="1">
      <alignment horizontal="left" vertical="center"/>
    </xf>
    <xf numFmtId="49" fontId="22" fillId="13" borderId="0" xfId="11" applyNumberFormat="1" applyFont="1" applyFill="1" applyAlignment="1">
      <alignment horizontal="left" vertical="center"/>
    </xf>
    <xf numFmtId="0" fontId="15" fillId="0" borderId="0" xfId="0" applyFont="1" applyAlignment="1"/>
    <xf numFmtId="0" fontId="14" fillId="4" borderId="2" xfId="10" applyAlignment="1"/>
    <xf numFmtId="49" fontId="32" fillId="0" borderId="0" xfId="0" applyNumberFormat="1" applyFont="1" applyAlignment="1">
      <alignment horizontal="left" vertical="center"/>
    </xf>
    <xf numFmtId="0" fontId="19" fillId="6" borderId="0" xfId="20">
      <alignment vertical="center"/>
    </xf>
    <xf numFmtId="0" fontId="13" fillId="0" borderId="0" xfId="0" applyFont="1" applyAlignment="1"/>
    <xf numFmtId="0" fontId="33" fillId="0" borderId="0" xfId="0" applyFont="1">
      <alignment vertical="center"/>
    </xf>
    <xf numFmtId="0" fontId="0" fillId="0" borderId="0" xfId="0" applyFill="1" applyAlignment="1"/>
    <xf numFmtId="0" fontId="25" fillId="0" borderId="0" xfId="29" applyFill="1" applyAlignment="1"/>
    <xf numFmtId="0" fontId="19" fillId="0" borderId="0" xfId="20" applyFill="1" applyAlignment="1"/>
    <xf numFmtId="0" fontId="26" fillId="0" borderId="0" xfId="30" applyFill="1" applyAlignment="1"/>
    <xf numFmtId="0" fontId="13" fillId="0" borderId="0" xfId="8" applyFill="1">
      <alignment vertical="center"/>
    </xf>
    <xf numFmtId="0" fontId="8" fillId="0" borderId="0" xfId="0" applyFont="1" applyFill="1" applyAlignment="1"/>
    <xf numFmtId="0" fontId="0" fillId="0" borderId="0" xfId="0" applyFill="1">
      <alignment vertical="center"/>
    </xf>
    <xf numFmtId="0" fontId="19" fillId="0" borderId="0" xfId="20" applyFill="1">
      <alignment vertical="center"/>
    </xf>
  </cellXfs>
  <cellStyles count="31">
    <cellStyle name="差" xfId="20" builtinId="27"/>
    <cellStyle name="常规" xfId="0" builtinId="0"/>
    <cellStyle name="常规 10" xfId="28" xr:uid="{00000000-0005-0000-0000-000002000000}"/>
    <cellStyle name="常规 2" xfId="1" xr:uid="{00000000-0005-0000-0000-000003000000}"/>
    <cellStyle name="常规 2 2" xfId="3" xr:uid="{00000000-0005-0000-0000-000004000000}"/>
    <cellStyle name="常规 2 2 2" xfId="6" xr:uid="{00000000-0005-0000-0000-000005000000}"/>
    <cellStyle name="常规 2 2 3" xfId="12" xr:uid="{00000000-0005-0000-0000-000006000000}"/>
    <cellStyle name="常规 2 2 3 4" xfId="15" xr:uid="{00000000-0005-0000-0000-000007000000}"/>
    <cellStyle name="常规 2 2 4" xfId="21" xr:uid="{00000000-0005-0000-0000-000008000000}"/>
    <cellStyle name="常规 2 3" xfId="11" xr:uid="{00000000-0005-0000-0000-000009000000}"/>
    <cellStyle name="常规 2 3 2" xfId="25" xr:uid="{00000000-0005-0000-0000-00000A000000}"/>
    <cellStyle name="常规 2 4" xfId="9" xr:uid="{00000000-0005-0000-0000-00000B000000}"/>
    <cellStyle name="常规 2 5" xfId="27" xr:uid="{00000000-0005-0000-0000-00000C000000}"/>
    <cellStyle name="常规 3" xfId="2" xr:uid="{00000000-0005-0000-0000-00000D000000}"/>
    <cellStyle name="常规 3 2" xfId="4" xr:uid="{00000000-0005-0000-0000-00000E000000}"/>
    <cellStyle name="常规 3 2 2 2" xfId="23" xr:uid="{00000000-0005-0000-0000-00000F000000}"/>
    <cellStyle name="常规 3 3" xfId="14" xr:uid="{00000000-0005-0000-0000-000010000000}"/>
    <cellStyle name="常规 3 4" xfId="19" xr:uid="{00000000-0005-0000-0000-000011000000}"/>
    <cellStyle name="常规 3 5 2" xfId="24" xr:uid="{00000000-0005-0000-0000-000012000000}"/>
    <cellStyle name="常规 4" xfId="5" xr:uid="{00000000-0005-0000-0000-000013000000}"/>
    <cellStyle name="常规 5" xfId="7" xr:uid="{00000000-0005-0000-0000-000014000000}"/>
    <cellStyle name="常规 6" xfId="16" xr:uid="{00000000-0005-0000-0000-000015000000}"/>
    <cellStyle name="常规 7" xfId="8" xr:uid="{00000000-0005-0000-0000-000016000000}"/>
    <cellStyle name="常规 8" xfId="17" xr:uid="{00000000-0005-0000-0000-000017000000}"/>
    <cellStyle name="常规 8 2 2" xfId="22" xr:uid="{00000000-0005-0000-0000-000018000000}"/>
    <cellStyle name="常规 9" xfId="18" xr:uid="{00000000-0005-0000-0000-000019000000}"/>
    <cellStyle name="好" xfId="29" builtinId="26"/>
    <cellStyle name="好 2" xfId="13" xr:uid="{00000000-0005-0000-0000-00001B000000}"/>
    <cellStyle name="输入 2" xfId="10" xr:uid="{00000000-0005-0000-0000-00001C000000}"/>
    <cellStyle name="着色 1" xfId="30" builtinId="29"/>
    <cellStyle name="표준 2" xfId="26" xr:uid="{00000000-0005-0000-0000-00001D000000}"/>
  </cellStyles>
  <dxfs count="4">
    <dxf>
      <font>
        <color rgb="FF9C0006"/>
      </font>
      <fill>
        <patternFill>
          <bgColor rgb="FFFFC7CE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</dxfs>
  <tableStyles count="0" defaultTableStyle="TableStyleMedium2" defaultPivotStyle="PivotStyleLight16"/>
  <colors>
    <mruColors>
      <color rgb="FFCCECFF"/>
      <color rgb="FF99CCFF"/>
      <color rgb="FF9966FF"/>
      <color rgb="FFA60202"/>
      <color rgb="FFFE5E7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3</xdr:col>
          <xdr:colOff>0</xdr:colOff>
          <xdr:row>11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普通合表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9525</xdr:rowOff>
        </xdr:from>
        <xdr:to>
          <xdr:col>7</xdr:col>
          <xdr:colOff>9525</xdr:colOff>
          <xdr:row>15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清除本工作簿所有底色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选择工作目录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600075</xdr:colOff>
          <xdr:row>2</xdr:row>
          <xdr:rowOff>0</xdr:rowOff>
        </xdr:from>
        <xdr:to>
          <xdr:col>20</xdr:col>
          <xdr:colOff>0</xdr:colOff>
          <xdr:row>7</xdr:row>
          <xdr:rowOff>161925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17</xdr:col>
          <xdr:colOff>9525</xdr:colOff>
          <xdr:row>28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清理批注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9525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强制合表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8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"/>
  <dimension ref="A1:O71"/>
  <sheetViews>
    <sheetView tabSelected="1" zoomScaleNormal="100" workbookViewId="0">
      <selection activeCell="C27" sqref="C27"/>
    </sheetView>
  </sheetViews>
  <sheetFormatPr defaultRowHeight="13.5" x14ac:dyDescent="0.15"/>
  <cols>
    <col min="2" max="2" width="16.875" style="4" bestFit="1" customWidth="1"/>
    <col min="3" max="3" width="60.875" customWidth="1"/>
  </cols>
  <sheetData>
    <row r="1" spans="1:10" x14ac:dyDescent="0.15">
      <c r="A1" t="s">
        <v>42</v>
      </c>
    </row>
    <row r="2" spans="1:10" x14ac:dyDescent="0.15">
      <c r="B2" s="1" t="s">
        <v>3</v>
      </c>
      <c r="C2" s="3" t="s">
        <v>450</v>
      </c>
      <c r="I2" s="2" t="s">
        <v>8</v>
      </c>
    </row>
    <row r="3" spans="1:10" x14ac:dyDescent="0.15">
      <c r="J3" t="s">
        <v>15</v>
      </c>
    </row>
    <row r="4" spans="1:10" x14ac:dyDescent="0.15">
      <c r="B4" s="1" t="s">
        <v>0</v>
      </c>
      <c r="C4" s="6" t="s">
        <v>71</v>
      </c>
      <c r="J4" t="s">
        <v>16</v>
      </c>
    </row>
    <row r="5" spans="1:10" x14ac:dyDescent="0.15">
      <c r="J5" t="s">
        <v>7</v>
      </c>
    </row>
    <row r="6" spans="1:10" ht="14.25" x14ac:dyDescent="0.15">
      <c r="B6" s="1" t="s">
        <v>47</v>
      </c>
      <c r="C6" s="7" t="s">
        <v>451</v>
      </c>
      <c r="J6" t="s">
        <v>14</v>
      </c>
    </row>
    <row r="8" spans="1:10" x14ac:dyDescent="0.15">
      <c r="I8" s="2" t="s">
        <v>5</v>
      </c>
    </row>
    <row r="9" spans="1:10" x14ac:dyDescent="0.15">
      <c r="J9" t="s">
        <v>6</v>
      </c>
    </row>
    <row r="18" spans="2:15" x14ac:dyDescent="0.15">
      <c r="B18" s="5" t="s">
        <v>1</v>
      </c>
      <c r="C18" t="s">
        <v>22</v>
      </c>
    </row>
    <row r="19" spans="2:15" x14ac:dyDescent="0.15">
      <c r="C19" t="s">
        <v>21</v>
      </c>
    </row>
    <row r="21" spans="2:15" x14ac:dyDescent="0.15">
      <c r="B21" s="5" t="s">
        <v>61</v>
      </c>
      <c r="C21" t="s">
        <v>63</v>
      </c>
    </row>
    <row r="22" spans="2:15" x14ac:dyDescent="0.15">
      <c r="B22" s="4" t="s">
        <v>62</v>
      </c>
      <c r="C22" t="s">
        <v>64</v>
      </c>
      <c r="M22" s="2" t="s">
        <v>59</v>
      </c>
      <c r="O22" t="s">
        <v>48</v>
      </c>
    </row>
    <row r="24" spans="2:15" x14ac:dyDescent="0.15">
      <c r="B24" s="5" t="s">
        <v>49</v>
      </c>
      <c r="C24" t="s">
        <v>51</v>
      </c>
    </row>
    <row r="25" spans="2:15" x14ac:dyDescent="0.15">
      <c r="B25" s="4" t="s">
        <v>50</v>
      </c>
      <c r="C25" t="s">
        <v>52</v>
      </c>
    </row>
    <row r="26" spans="2:15" x14ac:dyDescent="0.15">
      <c r="C26" t="s">
        <v>70</v>
      </c>
    </row>
    <row r="27" spans="2:15" x14ac:dyDescent="0.15">
      <c r="C27" t="s">
        <v>66</v>
      </c>
    </row>
    <row r="28" spans="2:15" x14ac:dyDescent="0.15">
      <c r="C28" t="s">
        <v>60</v>
      </c>
    </row>
    <row r="30" spans="2:15" x14ac:dyDescent="0.15">
      <c r="B30" s="5" t="s">
        <v>10</v>
      </c>
      <c r="C30" t="s">
        <v>35</v>
      </c>
    </row>
    <row r="31" spans="2:15" x14ac:dyDescent="0.15">
      <c r="B31" s="5"/>
      <c r="C31" t="s">
        <v>23</v>
      </c>
    </row>
    <row r="32" spans="2:15" x14ac:dyDescent="0.15">
      <c r="B32" s="5"/>
      <c r="C32" t="s">
        <v>24</v>
      </c>
    </row>
    <row r="33" spans="2:3" x14ac:dyDescent="0.15">
      <c r="B33" s="5"/>
      <c r="C33" t="s">
        <v>25</v>
      </c>
    </row>
    <row r="34" spans="2:3" x14ac:dyDescent="0.15">
      <c r="B34" s="5"/>
      <c r="C34" t="s">
        <v>53</v>
      </c>
    </row>
    <row r="35" spans="2:3" x14ac:dyDescent="0.15">
      <c r="C35" t="s">
        <v>54</v>
      </c>
    </row>
    <row r="36" spans="2:3" x14ac:dyDescent="0.15">
      <c r="C36" t="s">
        <v>55</v>
      </c>
    </row>
    <row r="38" spans="2:3" x14ac:dyDescent="0.15">
      <c r="B38" s="5" t="s">
        <v>36</v>
      </c>
      <c r="C38" t="s">
        <v>43</v>
      </c>
    </row>
    <row r="39" spans="2:3" x14ac:dyDescent="0.15">
      <c r="B39" s="4" t="s">
        <v>37</v>
      </c>
      <c r="C39" t="s">
        <v>44</v>
      </c>
    </row>
    <row r="40" spans="2:3" x14ac:dyDescent="0.15">
      <c r="C40" t="s">
        <v>45</v>
      </c>
    </row>
    <row r="41" spans="2:3" x14ac:dyDescent="0.15">
      <c r="C41" t="s">
        <v>38</v>
      </c>
    </row>
    <row r="42" spans="2:3" x14ac:dyDescent="0.15">
      <c r="C42" t="s">
        <v>57</v>
      </c>
    </row>
    <row r="44" spans="2:3" x14ac:dyDescent="0.15">
      <c r="B44" s="5" t="s">
        <v>56</v>
      </c>
      <c r="C44" t="s">
        <v>39</v>
      </c>
    </row>
    <row r="45" spans="2:3" x14ac:dyDescent="0.15">
      <c r="B45" s="4" t="s">
        <v>37</v>
      </c>
      <c r="C45" t="s">
        <v>40</v>
      </c>
    </row>
    <row r="47" spans="2:3" x14ac:dyDescent="0.15">
      <c r="B47" s="5" t="s">
        <v>65</v>
      </c>
      <c r="C47" t="s">
        <v>41</v>
      </c>
    </row>
    <row r="48" spans="2:3" x14ac:dyDescent="0.15">
      <c r="C48" t="s">
        <v>11</v>
      </c>
    </row>
    <row r="49" spans="2:3" x14ac:dyDescent="0.15">
      <c r="C49" t="s">
        <v>58</v>
      </c>
    </row>
    <row r="50" spans="2:3" x14ac:dyDescent="0.15">
      <c r="C50" t="s">
        <v>12</v>
      </c>
    </row>
    <row r="51" spans="2:3" x14ac:dyDescent="0.15">
      <c r="C51" t="s">
        <v>13</v>
      </c>
    </row>
    <row r="52" spans="2:3" x14ac:dyDescent="0.15">
      <c r="C52" t="s">
        <v>4</v>
      </c>
    </row>
    <row r="53" spans="2:3" x14ac:dyDescent="0.15">
      <c r="C53" t="s">
        <v>9</v>
      </c>
    </row>
    <row r="55" spans="2:3" x14ac:dyDescent="0.15">
      <c r="B55" s="5" t="s">
        <v>2</v>
      </c>
      <c r="C55" t="s">
        <v>26</v>
      </c>
    </row>
    <row r="56" spans="2:3" x14ac:dyDescent="0.15">
      <c r="C56" t="s">
        <v>27</v>
      </c>
    </row>
    <row r="57" spans="2:3" x14ac:dyDescent="0.15">
      <c r="C57" t="s">
        <v>28</v>
      </c>
    </row>
    <row r="58" spans="2:3" x14ac:dyDescent="0.15">
      <c r="C58" t="s">
        <v>29</v>
      </c>
    </row>
    <row r="59" spans="2:3" x14ac:dyDescent="0.15">
      <c r="C59" t="s">
        <v>30</v>
      </c>
    </row>
    <row r="60" spans="2:3" x14ac:dyDescent="0.15">
      <c r="C60" t="s">
        <v>31</v>
      </c>
    </row>
    <row r="61" spans="2:3" x14ac:dyDescent="0.15">
      <c r="C61" t="s">
        <v>46</v>
      </c>
    </row>
    <row r="63" spans="2:3" x14ac:dyDescent="0.15">
      <c r="B63" s="5" t="s">
        <v>17</v>
      </c>
      <c r="C63" t="s">
        <v>32</v>
      </c>
    </row>
    <row r="64" spans="2:3" x14ac:dyDescent="0.15">
      <c r="C64" t="s">
        <v>33</v>
      </c>
    </row>
    <row r="65" spans="2:4" x14ac:dyDescent="0.15">
      <c r="C65" t="s">
        <v>19</v>
      </c>
    </row>
    <row r="66" spans="2:4" x14ac:dyDescent="0.15">
      <c r="C66" t="s">
        <v>18</v>
      </c>
    </row>
    <row r="67" spans="2:4" x14ac:dyDescent="0.15">
      <c r="C67" t="s">
        <v>20</v>
      </c>
    </row>
    <row r="68" spans="2:4" x14ac:dyDescent="0.15">
      <c r="C68" t="s">
        <v>34</v>
      </c>
    </row>
    <row r="70" spans="2:4" x14ac:dyDescent="0.15">
      <c r="B70" s="5" t="s">
        <v>68</v>
      </c>
      <c r="C70" t="str">
        <f>IFERROR(IFERROR(_xlfn.FILTERXML(_xlfn.WEBSERVICE("http://fanyi.youdao.com/translate?&amp;i="&amp;LEFT(D70,FIND("$",D70)-1)&amp;"&amp;doctype=xml&amp;version"),"//translation")&amp;" "&amp;MID(D70,FIND("$",D70),FIND("}",D70)-FIND("$",D70)+1)&amp;" "&amp;_xlfn.FILTERXML(_xlfn.WEBSERVICE("http://fanyi.youdao.com/translate?&amp;i="&amp;RIGHT(D70,LEN(D70)-FIND("}",D70))&amp;"&amp;doctype=xml&amp;version"),"//translation"),_xlfn.FILTERXML(_xlfn.WEBSERVICE("http://fanyi.youdao.com/translate?&amp;i="&amp;D70&amp;"&amp;doctype=xml&amp;version"),"//translation")),"")</f>
        <v/>
      </c>
      <c r="D70" t="s">
        <v>69</v>
      </c>
    </row>
    <row r="71" spans="2:4" x14ac:dyDescent="0.15">
      <c r="C71" t="s">
        <v>67</v>
      </c>
    </row>
  </sheetData>
  <phoneticPr fontId="7" type="noConversion"/>
  <dataValidations count="1">
    <dataValidation type="list" allowBlank="1" showInputMessage="1" showErrorMessage="1" sqref="C4" xr:uid="{00000000-0002-0000-0800-000000000000}">
      <formula1>"精确合表,检测模式"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1">
          <controlPr defaultSize="0" autoLine="0" autoPict="0" r:id="rId5">
            <anchor moveWithCells="1">
              <from>
                <xdr:col>15</xdr:col>
                <xdr:colOff>600075</xdr:colOff>
                <xdr:row>2</xdr:row>
                <xdr:rowOff>0</xdr:rowOff>
              </from>
              <to>
                <xdr:col>20</xdr:col>
                <xdr:colOff>0</xdr:colOff>
                <xdr:row>7</xdr:row>
                <xdr:rowOff>161925</xdr:rowOff>
              </to>
            </anchor>
          </controlPr>
        </control>
      </mc:Choice>
      <mc:Fallback>
        <control shapeId="1030" r:id="rId4" name="CommandButton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普通合表">
            <anchor moveWithCells="1" sizeWithCells="1">
              <from>
                <xdr:col>1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" name="Button 4">
          <controlPr defaultSize="0" print="0" autoFill="0" autoPict="0" macro="[0]!清除所有底色">
            <anchor moveWithCells="1" sizeWithCells="1">
              <from>
                <xdr:col>4</xdr:col>
                <xdr:colOff>0</xdr:colOff>
                <xdr:row>7</xdr:row>
                <xdr:rowOff>9525</xdr:rowOff>
              </from>
              <to>
                <xdr:col>7</xdr:col>
                <xdr:colOff>9525</xdr:colOff>
                <xdr:row>15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8" name="Button 5">
          <controlPr defaultSize="0" print="0" autoFill="0" autoPict="0" macro="[0]!选择目录">
            <anchor moveWithCells="1" sizeWithCells="1">
              <from>
                <xdr:col>4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批量删除批注">
            <anchor moveWithCells="1" sizeWithCells="1">
              <from>
                <xdr:col>12</xdr:col>
                <xdr:colOff>9525</xdr:colOff>
                <xdr:row>23</xdr:row>
                <xdr:rowOff>0</xdr:rowOff>
              </from>
              <to>
                <xdr:col>17</xdr:col>
                <xdr:colOff>9525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强制合表">
            <anchor moveWithCells="1" sizeWithCells="1">
              <from>
                <xdr:col>1</xdr:col>
                <xdr:colOff>9525</xdr:colOff>
                <xdr:row>12</xdr:row>
                <xdr:rowOff>9525</xdr:rowOff>
              </from>
              <to>
                <xdr:col>3</xdr:col>
                <xdr:colOff>0</xdr:colOff>
                <xdr:row>16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809C9-8169-4FD3-A21F-24042922478D}">
  <sheetPr>
    <tabColor theme="2"/>
  </sheetPr>
  <dimension ref="A1:AH21"/>
  <sheetViews>
    <sheetView workbookViewId="0">
      <selection activeCell="C10" sqref="C10"/>
    </sheetView>
  </sheetViews>
  <sheetFormatPr defaultRowHeight="13.5" x14ac:dyDescent="0.15"/>
  <cols>
    <col min="1" max="11" width="9" style="8"/>
    <col min="12" max="12" width="19.375" style="8" bestFit="1" customWidth="1"/>
    <col min="13" max="13" width="9" style="8"/>
    <col min="14" max="14" width="19.375" style="8" bestFit="1" customWidth="1"/>
    <col min="15" max="23" width="9" style="8"/>
    <col min="24" max="24" width="26.125" style="8" bestFit="1" customWidth="1"/>
    <col min="25" max="25" width="29.375" style="8" bestFit="1" customWidth="1"/>
    <col min="26" max="16384" width="9" style="8"/>
  </cols>
  <sheetData>
    <row r="1" spans="1:34" s="12" customFormat="1" x14ac:dyDescent="0.15">
      <c r="A1" s="12" t="s">
        <v>84</v>
      </c>
      <c r="L1" s="13"/>
      <c r="W1" s="13"/>
    </row>
    <row r="2" spans="1:34" s="12" customFormat="1" x14ac:dyDescent="0.15">
      <c r="A2" s="12" t="s">
        <v>72</v>
      </c>
      <c r="B2" s="14" t="s">
        <v>85</v>
      </c>
      <c r="C2" s="14" t="s">
        <v>86</v>
      </c>
      <c r="D2" s="14" t="s">
        <v>87</v>
      </c>
      <c r="E2" s="14" t="s">
        <v>88</v>
      </c>
      <c r="F2" s="9" t="s">
        <v>89</v>
      </c>
      <c r="G2" s="9" t="s">
        <v>90</v>
      </c>
      <c r="H2" s="9" t="s">
        <v>91</v>
      </c>
      <c r="I2" s="9" t="s">
        <v>92</v>
      </c>
      <c r="J2" s="14" t="s">
        <v>93</v>
      </c>
      <c r="K2" s="9" t="s">
        <v>94</v>
      </c>
      <c r="L2" s="14" t="s">
        <v>95</v>
      </c>
      <c r="M2" s="14" t="s">
        <v>96</v>
      </c>
      <c r="N2" s="14" t="s">
        <v>97</v>
      </c>
      <c r="O2" s="14" t="s">
        <v>98</v>
      </c>
      <c r="P2" s="14" t="s">
        <v>99</v>
      </c>
      <c r="Q2" s="14" t="s">
        <v>100</v>
      </c>
      <c r="R2" s="14" t="s">
        <v>101</v>
      </c>
      <c r="S2" s="14" t="s">
        <v>102</v>
      </c>
      <c r="T2" s="14" t="s">
        <v>103</v>
      </c>
      <c r="U2" s="14" t="s">
        <v>104</v>
      </c>
      <c r="V2" s="14" t="s">
        <v>105</v>
      </c>
      <c r="W2" s="9" t="s">
        <v>106</v>
      </c>
      <c r="X2" s="9" t="s">
        <v>107</v>
      </c>
      <c r="Y2" s="9" t="s">
        <v>108</v>
      </c>
      <c r="Z2" s="9" t="s">
        <v>109</v>
      </c>
      <c r="AA2" s="10" t="s">
        <v>110</v>
      </c>
      <c r="AB2" s="14" t="s">
        <v>111</v>
      </c>
      <c r="AC2" s="9" t="s">
        <v>112</v>
      </c>
      <c r="AD2" s="14" t="s">
        <v>113</v>
      </c>
      <c r="AE2" s="9" t="s">
        <v>114</v>
      </c>
    </row>
    <row r="3" spans="1:34" s="12" customFormat="1" x14ac:dyDescent="0.15">
      <c r="B3" s="15" t="s">
        <v>115</v>
      </c>
      <c r="C3" s="15" t="s">
        <v>115</v>
      </c>
      <c r="D3" s="15" t="s">
        <v>73</v>
      </c>
      <c r="E3" s="15" t="s">
        <v>115</v>
      </c>
      <c r="F3" s="10" t="s">
        <v>115</v>
      </c>
      <c r="G3" s="10" t="s">
        <v>115</v>
      </c>
      <c r="H3" s="10" t="s">
        <v>115</v>
      </c>
      <c r="I3" s="10" t="s">
        <v>115</v>
      </c>
      <c r="J3" s="15" t="s">
        <v>115</v>
      </c>
      <c r="K3" s="10" t="s">
        <v>115</v>
      </c>
      <c r="L3" s="15" t="s">
        <v>115</v>
      </c>
      <c r="M3" s="15" t="s">
        <v>115</v>
      </c>
      <c r="N3" s="15" t="s">
        <v>115</v>
      </c>
      <c r="O3" s="15" t="s">
        <v>115</v>
      </c>
      <c r="P3" s="15" t="s">
        <v>115</v>
      </c>
      <c r="Q3" s="15" t="s">
        <v>115</v>
      </c>
      <c r="R3" s="15" t="s">
        <v>115</v>
      </c>
      <c r="S3" s="15" t="s">
        <v>115</v>
      </c>
      <c r="T3" s="15" t="s">
        <v>115</v>
      </c>
      <c r="U3" s="15" t="s">
        <v>115</v>
      </c>
      <c r="V3" s="15" t="s">
        <v>115</v>
      </c>
      <c r="W3" s="10" t="s">
        <v>115</v>
      </c>
      <c r="X3" s="10" t="s">
        <v>115</v>
      </c>
      <c r="Y3" s="10" t="s">
        <v>116</v>
      </c>
      <c r="Z3" s="10" t="s">
        <v>80</v>
      </c>
      <c r="AA3" s="10" t="s">
        <v>117</v>
      </c>
      <c r="AB3" s="15" t="s">
        <v>80</v>
      </c>
      <c r="AC3" s="10" t="s">
        <v>115</v>
      </c>
      <c r="AD3" s="15" t="s">
        <v>80</v>
      </c>
      <c r="AE3" s="10" t="s">
        <v>118</v>
      </c>
    </row>
    <row r="4" spans="1:34" s="12" customFormat="1" x14ac:dyDescent="0.15">
      <c r="B4" s="16" t="s">
        <v>74</v>
      </c>
      <c r="C4" s="16" t="s">
        <v>74</v>
      </c>
      <c r="D4" s="16" t="s">
        <v>73</v>
      </c>
      <c r="E4" s="11" t="s">
        <v>119</v>
      </c>
      <c r="F4" s="11" t="s">
        <v>119</v>
      </c>
      <c r="G4" s="11" t="s">
        <v>74</v>
      </c>
      <c r="H4" s="11" t="s">
        <v>119</v>
      </c>
      <c r="I4" s="11" t="s">
        <v>74</v>
      </c>
      <c r="J4" s="16" t="s">
        <v>74</v>
      </c>
      <c r="K4" s="11" t="s">
        <v>74</v>
      </c>
      <c r="L4" s="16" t="s">
        <v>74</v>
      </c>
      <c r="M4" s="16" t="s">
        <v>74</v>
      </c>
      <c r="N4" s="16" t="s">
        <v>74</v>
      </c>
      <c r="O4" s="16" t="s">
        <v>74</v>
      </c>
      <c r="P4" s="16" t="s">
        <v>120</v>
      </c>
      <c r="Q4" s="16" t="s">
        <v>121</v>
      </c>
      <c r="R4" s="16" t="s">
        <v>74</v>
      </c>
      <c r="S4" s="16" t="s">
        <v>120</v>
      </c>
      <c r="T4" s="16" t="s">
        <v>122</v>
      </c>
      <c r="U4" s="16" t="s">
        <v>120</v>
      </c>
      <c r="V4" s="16" t="s">
        <v>123</v>
      </c>
      <c r="W4" s="11" t="s">
        <v>119</v>
      </c>
      <c r="X4" s="11" t="s">
        <v>74</v>
      </c>
      <c r="Y4" s="11" t="s">
        <v>124</v>
      </c>
      <c r="Z4" s="11" t="s">
        <v>74</v>
      </c>
      <c r="AA4" s="11" t="s">
        <v>120</v>
      </c>
      <c r="AB4" s="11" t="s">
        <v>125</v>
      </c>
      <c r="AC4" s="16" t="s">
        <v>125</v>
      </c>
      <c r="AD4" s="16" t="s">
        <v>74</v>
      </c>
      <c r="AE4" s="11" t="s">
        <v>126</v>
      </c>
    </row>
    <row r="5" spans="1:34" s="12" customFormat="1" x14ac:dyDescent="0.15">
      <c r="B5" s="15" t="s">
        <v>81</v>
      </c>
      <c r="C5" s="15" t="s">
        <v>127</v>
      </c>
      <c r="D5" s="15" t="s">
        <v>73</v>
      </c>
      <c r="E5" s="15" t="s">
        <v>128</v>
      </c>
      <c r="F5" s="10" t="s">
        <v>129</v>
      </c>
      <c r="G5" s="10" t="s">
        <v>130</v>
      </c>
      <c r="H5" s="10" t="s">
        <v>131</v>
      </c>
      <c r="I5" s="10" t="s">
        <v>132</v>
      </c>
      <c r="J5" s="15" t="s">
        <v>133</v>
      </c>
      <c r="K5" s="10" t="s">
        <v>134</v>
      </c>
      <c r="L5" s="15" t="s">
        <v>135</v>
      </c>
      <c r="M5" s="15" t="s">
        <v>136</v>
      </c>
      <c r="N5" s="15" t="s">
        <v>137</v>
      </c>
      <c r="O5" s="15" t="s">
        <v>138</v>
      </c>
      <c r="P5" s="15" t="s">
        <v>139</v>
      </c>
      <c r="Q5" s="15" t="s">
        <v>140</v>
      </c>
      <c r="R5" s="15" t="s">
        <v>141</v>
      </c>
      <c r="S5" s="15" t="s">
        <v>142</v>
      </c>
      <c r="T5" s="15" t="s">
        <v>143</v>
      </c>
      <c r="U5" s="15" t="s">
        <v>144</v>
      </c>
      <c r="V5" s="15" t="s">
        <v>145</v>
      </c>
      <c r="W5" s="10" t="s">
        <v>146</v>
      </c>
      <c r="X5" s="10" t="s">
        <v>147</v>
      </c>
      <c r="Y5" s="10" t="s">
        <v>148</v>
      </c>
      <c r="Z5" s="10" t="s">
        <v>149</v>
      </c>
      <c r="AA5" s="10" t="s">
        <v>150</v>
      </c>
      <c r="AB5" s="15" t="s">
        <v>151</v>
      </c>
      <c r="AC5" s="10" t="s">
        <v>152</v>
      </c>
      <c r="AD5" s="15" t="s">
        <v>153</v>
      </c>
      <c r="AE5" s="10" t="s">
        <v>154</v>
      </c>
    </row>
    <row r="6" spans="1:34" s="12" customFormat="1" x14ac:dyDescent="0.15">
      <c r="B6" s="16" t="s">
        <v>75</v>
      </c>
      <c r="C6" s="16" t="s">
        <v>155</v>
      </c>
      <c r="D6" s="16"/>
      <c r="E6" s="16"/>
      <c r="F6" s="11"/>
      <c r="G6" s="11"/>
      <c r="H6" s="11"/>
      <c r="I6" s="11"/>
      <c r="J6" s="16" t="s">
        <v>188</v>
      </c>
      <c r="K6" s="11" t="s">
        <v>156</v>
      </c>
      <c r="L6" s="16" t="s">
        <v>157</v>
      </c>
      <c r="M6" s="16" t="s">
        <v>157</v>
      </c>
      <c r="N6" s="16" t="s">
        <v>157</v>
      </c>
      <c r="O6" s="16" t="s">
        <v>158</v>
      </c>
      <c r="P6" s="16" t="s">
        <v>159</v>
      </c>
      <c r="Q6" s="16"/>
      <c r="R6" s="16" t="s">
        <v>160</v>
      </c>
      <c r="S6" s="16" t="s">
        <v>159</v>
      </c>
      <c r="T6" s="16"/>
      <c r="U6" s="16" t="s">
        <v>159</v>
      </c>
      <c r="V6" s="16"/>
      <c r="W6" s="11" t="s">
        <v>161</v>
      </c>
      <c r="X6" s="16" t="s">
        <v>162</v>
      </c>
      <c r="Y6" s="16" t="s">
        <v>163</v>
      </c>
      <c r="Z6" s="11" t="s">
        <v>164</v>
      </c>
      <c r="AA6" s="11" t="s">
        <v>330</v>
      </c>
      <c r="AB6" s="16" t="s">
        <v>165</v>
      </c>
      <c r="AC6" s="11" t="s">
        <v>166</v>
      </c>
      <c r="AD6" s="11" t="s">
        <v>164</v>
      </c>
      <c r="AE6" s="16"/>
    </row>
    <row r="7" spans="1:34" s="31" customFormat="1" x14ac:dyDescent="0.15">
      <c r="A7" s="31" t="s">
        <v>214</v>
      </c>
      <c r="B7" s="31" t="s">
        <v>167</v>
      </c>
      <c r="C7" s="31" t="s">
        <v>168</v>
      </c>
      <c r="D7" s="31" t="s">
        <v>169</v>
      </c>
      <c r="E7" s="31">
        <v>1</v>
      </c>
      <c r="F7" s="31">
        <v>12</v>
      </c>
      <c r="G7" s="31">
        <v>1</v>
      </c>
      <c r="H7" s="31">
        <v>11</v>
      </c>
      <c r="I7" s="31">
        <v>1</v>
      </c>
      <c r="J7" s="31" t="s">
        <v>170</v>
      </c>
      <c r="K7" s="31" t="s">
        <v>171</v>
      </c>
      <c r="L7" s="31" t="s">
        <v>172</v>
      </c>
      <c r="M7" s="31" t="s">
        <v>173</v>
      </c>
      <c r="N7" s="31" t="s">
        <v>174</v>
      </c>
      <c r="O7" s="31" t="s">
        <v>175</v>
      </c>
      <c r="P7" s="31" t="s">
        <v>176</v>
      </c>
      <c r="Q7" s="31" t="s">
        <v>177</v>
      </c>
      <c r="R7" s="31">
        <v>1002</v>
      </c>
      <c r="S7" s="31" t="s">
        <v>176</v>
      </c>
      <c r="T7" s="31" t="s">
        <v>178</v>
      </c>
      <c r="U7" s="31" t="s">
        <v>176</v>
      </c>
      <c r="V7" s="31" t="s">
        <v>179</v>
      </c>
      <c r="W7" s="31">
        <v>1</v>
      </c>
      <c r="X7" s="31" t="s">
        <v>180</v>
      </c>
      <c r="Y7" s="31" t="s">
        <v>181</v>
      </c>
      <c r="Z7" s="31" t="s">
        <v>325</v>
      </c>
      <c r="AA7" s="31" t="s">
        <v>328</v>
      </c>
      <c r="AC7" s="31" t="s">
        <v>332</v>
      </c>
      <c r="AD7" s="31" t="s">
        <v>182</v>
      </c>
    </row>
    <row r="8" spans="1:34" s="31" customFormat="1" ht="14.25" x14ac:dyDescent="0.2">
      <c r="A8" s="31" t="s">
        <v>353</v>
      </c>
      <c r="B8" s="31" t="s">
        <v>183</v>
      </c>
      <c r="C8" s="31" t="s">
        <v>187</v>
      </c>
      <c r="D8" s="31" t="s">
        <v>185</v>
      </c>
      <c r="E8" s="31">
        <v>1</v>
      </c>
      <c r="F8" s="31">
        <v>12</v>
      </c>
      <c r="G8" s="31">
        <v>2</v>
      </c>
      <c r="H8" s="31">
        <v>14</v>
      </c>
      <c r="I8" s="31">
        <v>3</v>
      </c>
      <c r="J8" s="31" t="s">
        <v>186</v>
      </c>
      <c r="K8" s="32"/>
      <c r="L8" s="32"/>
      <c r="M8" s="32"/>
      <c r="N8" s="32"/>
      <c r="O8" s="31" t="s">
        <v>257</v>
      </c>
      <c r="P8" s="33" t="s">
        <v>176</v>
      </c>
      <c r="Q8" s="33" t="s">
        <v>177</v>
      </c>
      <c r="R8" s="33">
        <v>1002</v>
      </c>
      <c r="S8" s="33" t="s">
        <v>176</v>
      </c>
      <c r="T8" s="33" t="s">
        <v>178</v>
      </c>
      <c r="U8" s="33" t="s">
        <v>176</v>
      </c>
      <c r="V8" s="33" t="s">
        <v>179</v>
      </c>
      <c r="W8" s="33">
        <v>1</v>
      </c>
      <c r="X8" s="34" t="s">
        <v>180</v>
      </c>
      <c r="Y8" s="34" t="s">
        <v>324</v>
      </c>
      <c r="Z8" s="35" t="s">
        <v>327</v>
      </c>
      <c r="AA8" s="31" t="s">
        <v>329</v>
      </c>
      <c r="AC8" s="31" t="s">
        <v>333</v>
      </c>
    </row>
    <row r="9" spans="1:34" s="31" customFormat="1" x14ac:dyDescent="0.15">
      <c r="AE9" s="31" t="s">
        <v>354</v>
      </c>
    </row>
    <row r="10" spans="1:34" s="31" customFormat="1" x14ac:dyDescent="0.15">
      <c r="K10" s="31" t="s">
        <v>386</v>
      </c>
      <c r="P10" s="31" t="s">
        <v>385</v>
      </c>
      <c r="X10" s="31" t="s">
        <v>387</v>
      </c>
    </row>
    <row r="11" spans="1:34" s="31" customFormat="1" x14ac:dyDescent="0.15"/>
    <row r="12" spans="1:34" s="31" customFormat="1" x14ac:dyDescent="0.15"/>
    <row r="13" spans="1:34" s="31" customFormat="1" x14ac:dyDescent="0.15">
      <c r="A13" s="31" t="s">
        <v>214</v>
      </c>
      <c r="B13" s="36" t="s">
        <v>407</v>
      </c>
    </row>
    <row r="14" spans="1:34" s="31" customFormat="1" x14ac:dyDescent="0.15">
      <c r="A14" s="31" t="s">
        <v>214</v>
      </c>
      <c r="B14" s="31" t="s">
        <v>399</v>
      </c>
    </row>
    <row r="15" spans="1:34" s="31" customFormat="1" x14ac:dyDescent="0.15">
      <c r="A15" s="31" t="s">
        <v>214</v>
      </c>
      <c r="B15" s="31" t="s">
        <v>400</v>
      </c>
    </row>
    <row r="16" spans="1:34" s="31" customFormat="1" x14ac:dyDescent="0.15">
      <c r="A16" s="31" t="s">
        <v>214</v>
      </c>
      <c r="B16" s="31" t="s">
        <v>401</v>
      </c>
    </row>
    <row r="17" spans="1:2" s="31" customFormat="1" x14ac:dyDescent="0.15">
      <c r="A17" s="31" t="s">
        <v>214</v>
      </c>
      <c r="B17" s="31" t="s">
        <v>402</v>
      </c>
    </row>
    <row r="18" spans="1:2" s="31" customFormat="1" x14ac:dyDescent="0.15">
      <c r="A18" s="31" t="s">
        <v>214</v>
      </c>
      <c r="B18" s="31" t="s">
        <v>403</v>
      </c>
    </row>
    <row r="19" spans="1:2" s="31" customFormat="1" x14ac:dyDescent="0.15">
      <c r="A19" s="31" t="s">
        <v>214</v>
      </c>
      <c r="B19" s="31" t="s">
        <v>404</v>
      </c>
    </row>
    <row r="20" spans="1:2" s="31" customFormat="1" x14ac:dyDescent="0.15">
      <c r="A20" s="31" t="s">
        <v>214</v>
      </c>
      <c r="B20" s="31" t="s">
        <v>405</v>
      </c>
    </row>
    <row r="21" spans="1:2" s="31" customFormat="1" x14ac:dyDescent="0.15">
      <c r="A21" s="31" t="s">
        <v>214</v>
      </c>
      <c r="B21" s="31" t="s">
        <v>406</v>
      </c>
    </row>
  </sheetData>
  <phoneticPr fontId="7" type="noConversion"/>
  <conditionalFormatting sqref="G6">
    <cfRule type="cellIs" dxfId="3" priority="3" stopIfTrue="1" operator="notEqual">
      <formula>INDIRECT("Dummy_for_Comparison2!"&amp;ADDRESS(ROW(),COLUMN()))</formula>
    </cfRule>
  </conditionalFormatting>
  <conditionalFormatting sqref="Z6">
    <cfRule type="cellIs" dxfId="2" priority="2" stopIfTrue="1" operator="notEqual">
      <formula>INDIRECT("Dummy_for_Comparison2!"&amp;ADDRESS(ROW(),COLUMN()))</formula>
    </cfRule>
  </conditionalFormatting>
  <conditionalFormatting sqref="AA6">
    <cfRule type="cellIs" dxfId="1" priority="1" stopIfTrue="1" operator="notEqual">
      <formula>INDIRECT("Dummy_for_Comparison2!"&amp;ADDRESS(ROW(),COLUMN()))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ECA29-D562-492A-9110-2AB1C39F1F79}">
  <sheetPr>
    <tabColor theme="2"/>
  </sheetPr>
  <dimension ref="A1:D13"/>
  <sheetViews>
    <sheetView workbookViewId="0">
      <selection activeCell="J23" sqref="J23"/>
    </sheetView>
  </sheetViews>
  <sheetFormatPr defaultRowHeight="13.5" x14ac:dyDescent="0.15"/>
  <cols>
    <col min="2" max="2" width="16.125" bestFit="1" customWidth="1"/>
  </cols>
  <sheetData>
    <row r="1" spans="1:4" x14ac:dyDescent="0.15">
      <c r="A1" s="8" t="s">
        <v>76</v>
      </c>
      <c r="B1" s="8"/>
      <c r="C1" s="8"/>
      <c r="D1" s="8"/>
    </row>
    <row r="2" spans="1:4" x14ac:dyDescent="0.15">
      <c r="A2" s="8" t="s">
        <v>72</v>
      </c>
      <c r="B2" s="9" t="s">
        <v>77</v>
      </c>
      <c r="C2" s="9" t="s">
        <v>78</v>
      </c>
      <c r="D2" s="9" t="s">
        <v>79</v>
      </c>
    </row>
    <row r="3" spans="1:4" x14ac:dyDescent="0.15">
      <c r="A3" s="8"/>
      <c r="B3" s="10" t="s">
        <v>80</v>
      </c>
      <c r="C3" s="10" t="s">
        <v>80</v>
      </c>
      <c r="D3" s="10" t="s">
        <v>73</v>
      </c>
    </row>
    <row r="4" spans="1:4" x14ac:dyDescent="0.15">
      <c r="A4" s="8"/>
      <c r="B4" s="11" t="s">
        <v>74</v>
      </c>
      <c r="C4" s="11" t="s">
        <v>74</v>
      </c>
      <c r="D4" s="11" t="s">
        <v>73</v>
      </c>
    </row>
    <row r="5" spans="1:4" x14ac:dyDescent="0.15">
      <c r="A5" s="8"/>
      <c r="B5" s="10" t="s">
        <v>81</v>
      </c>
      <c r="C5" s="10" t="s">
        <v>82</v>
      </c>
      <c r="D5" s="10" t="s">
        <v>83</v>
      </c>
    </row>
    <row r="6" spans="1:4" x14ac:dyDescent="0.15">
      <c r="A6" s="8"/>
      <c r="B6" s="11" t="s">
        <v>75</v>
      </c>
      <c r="C6" s="11"/>
      <c r="D6" s="11"/>
    </row>
    <row r="7" spans="1:4" s="37" customFormat="1" x14ac:dyDescent="0.15">
      <c r="B7" s="37" t="s">
        <v>184</v>
      </c>
      <c r="C7" s="37" t="s">
        <v>185</v>
      </c>
    </row>
    <row r="8" spans="1:4" s="37" customFormat="1" x14ac:dyDescent="0.15">
      <c r="B8" s="37" t="s">
        <v>326</v>
      </c>
    </row>
    <row r="9" spans="1:4" s="37" customFormat="1" x14ac:dyDescent="0.15">
      <c r="B9" s="37" t="s">
        <v>331</v>
      </c>
    </row>
    <row r="10" spans="1:4" s="37" customFormat="1" x14ac:dyDescent="0.15"/>
    <row r="11" spans="1:4" s="37" customFormat="1" x14ac:dyDescent="0.15">
      <c r="B11" s="37" t="s">
        <v>390</v>
      </c>
    </row>
    <row r="12" spans="1:4" s="37" customFormat="1" x14ac:dyDescent="0.15">
      <c r="B12" s="37" t="s">
        <v>428</v>
      </c>
    </row>
    <row r="13" spans="1:4" s="37" customFormat="1" x14ac:dyDescent="0.15">
      <c r="B13" s="37" t="s">
        <v>430</v>
      </c>
    </row>
  </sheetData>
  <phoneticPr fontId="7" type="noConversion"/>
  <conditionalFormatting sqref="B1:B6">
    <cfRule type="duplicateValues" dxfId="0" priority="1"/>
  </conditionalFormatting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2CE66-3274-4B94-A3D7-1209EB9AB9D6}">
  <sheetPr>
    <tabColor theme="2"/>
  </sheetPr>
  <dimension ref="A1:AA9"/>
  <sheetViews>
    <sheetView topLeftCell="F1" workbookViewId="0">
      <selection activeCell="Z9" sqref="Z9"/>
    </sheetView>
  </sheetViews>
  <sheetFormatPr defaultRowHeight="13.5" x14ac:dyDescent="0.15"/>
  <cols>
    <col min="2" max="2" width="20.5" bestFit="1" customWidth="1"/>
    <col min="5" max="5" width="35" bestFit="1" customWidth="1"/>
    <col min="16" max="16" width="27.25" bestFit="1" customWidth="1"/>
    <col min="17" max="17" width="10.5" bestFit="1" customWidth="1"/>
    <col min="18" max="18" width="13" bestFit="1" customWidth="1"/>
    <col min="23" max="23" width="17.25" bestFit="1" customWidth="1"/>
    <col min="26" max="26" width="9.5" bestFit="1" customWidth="1"/>
  </cols>
  <sheetData>
    <row r="1" spans="1:27" s="12" customFormat="1" x14ac:dyDescent="0.15">
      <c r="A1" s="12" t="s">
        <v>189</v>
      </c>
    </row>
    <row r="2" spans="1:27" s="12" customFormat="1" x14ac:dyDescent="0.15">
      <c r="A2" s="12" t="s">
        <v>72</v>
      </c>
      <c r="B2" s="17" t="s">
        <v>190</v>
      </c>
      <c r="C2" s="17" t="s">
        <v>191</v>
      </c>
      <c r="D2" s="17" t="s">
        <v>192</v>
      </c>
      <c r="E2" s="18" t="s">
        <v>193</v>
      </c>
      <c r="F2" s="17" t="s">
        <v>194</v>
      </c>
      <c r="G2" s="17" t="s">
        <v>195</v>
      </c>
      <c r="H2" s="17" t="s">
        <v>194</v>
      </c>
      <c r="I2" s="18" t="s">
        <v>196</v>
      </c>
      <c r="J2" s="18" t="s">
        <v>197</v>
      </c>
      <c r="K2" s="14" t="s">
        <v>198</v>
      </c>
      <c r="L2" s="9" t="s">
        <v>199</v>
      </c>
      <c r="M2" s="9" t="s">
        <v>79</v>
      </c>
      <c r="N2" s="14" t="s">
        <v>200</v>
      </c>
      <c r="O2" s="14" t="s">
        <v>201</v>
      </c>
      <c r="P2" s="9" t="s">
        <v>202</v>
      </c>
      <c r="Q2" s="9" t="s">
        <v>203</v>
      </c>
      <c r="R2" s="9" t="s">
        <v>204</v>
      </c>
      <c r="S2" s="9" t="s">
        <v>205</v>
      </c>
      <c r="T2" s="14" t="s">
        <v>206</v>
      </c>
      <c r="U2" s="14" t="s">
        <v>207</v>
      </c>
      <c r="V2" s="9" t="s">
        <v>208</v>
      </c>
      <c r="W2" s="9" t="s">
        <v>209</v>
      </c>
      <c r="X2" s="9" t="s">
        <v>210</v>
      </c>
      <c r="Y2" s="9" t="s">
        <v>211</v>
      </c>
      <c r="Z2" s="9" t="s">
        <v>212</v>
      </c>
    </row>
    <row r="3" spans="1:27" s="12" customFormat="1" x14ac:dyDescent="0.15">
      <c r="B3" s="19" t="s">
        <v>213</v>
      </c>
      <c r="C3" s="19" t="s">
        <v>213</v>
      </c>
      <c r="D3" s="19" t="s">
        <v>215</v>
      </c>
      <c r="E3" s="20" t="s">
        <v>80</v>
      </c>
      <c r="F3" s="19" t="s">
        <v>215</v>
      </c>
      <c r="G3" s="19" t="s">
        <v>216</v>
      </c>
      <c r="H3" s="19" t="s">
        <v>215</v>
      </c>
      <c r="I3" s="20" t="s">
        <v>80</v>
      </c>
      <c r="J3" s="20" t="s">
        <v>116</v>
      </c>
      <c r="K3" s="15" t="s">
        <v>213</v>
      </c>
      <c r="L3" s="10" t="s">
        <v>115</v>
      </c>
      <c r="M3" s="10" t="s">
        <v>73</v>
      </c>
      <c r="N3" s="15" t="s">
        <v>213</v>
      </c>
      <c r="O3" s="15" t="s">
        <v>213</v>
      </c>
      <c r="P3" s="10" t="s">
        <v>115</v>
      </c>
      <c r="Q3" s="10" t="s">
        <v>115</v>
      </c>
      <c r="R3" s="10" t="s">
        <v>115</v>
      </c>
      <c r="S3" s="10" t="s">
        <v>115</v>
      </c>
      <c r="T3" s="15" t="s">
        <v>213</v>
      </c>
      <c r="U3" s="15" t="s">
        <v>213</v>
      </c>
      <c r="V3" s="10" t="s">
        <v>115</v>
      </c>
      <c r="W3" s="10" t="s">
        <v>80</v>
      </c>
      <c r="X3" s="10" t="s">
        <v>115</v>
      </c>
      <c r="Y3" s="10" t="s">
        <v>80</v>
      </c>
      <c r="Z3" s="10" t="s">
        <v>115</v>
      </c>
    </row>
    <row r="4" spans="1:27" s="12" customFormat="1" x14ac:dyDescent="0.15">
      <c r="B4" s="21" t="s">
        <v>217</v>
      </c>
      <c r="C4" s="21" t="s">
        <v>217</v>
      </c>
      <c r="D4" s="21" t="s">
        <v>218</v>
      </c>
      <c r="E4" s="22" t="s">
        <v>74</v>
      </c>
      <c r="F4" s="21" t="s">
        <v>218</v>
      </c>
      <c r="G4" s="21" t="s">
        <v>217</v>
      </c>
      <c r="H4" s="21" t="s">
        <v>218</v>
      </c>
      <c r="I4" s="22" t="s">
        <v>119</v>
      </c>
      <c r="J4" s="22" t="s">
        <v>74</v>
      </c>
      <c r="K4" s="16" t="s">
        <v>217</v>
      </c>
      <c r="L4" s="11" t="s">
        <v>74</v>
      </c>
      <c r="M4" s="11" t="s">
        <v>73</v>
      </c>
      <c r="N4" s="16" t="s">
        <v>217</v>
      </c>
      <c r="O4" s="11" t="s">
        <v>119</v>
      </c>
      <c r="P4" s="11" t="s">
        <v>125</v>
      </c>
      <c r="Q4" s="11" t="s">
        <v>408</v>
      </c>
      <c r="R4" s="11" t="s">
        <v>119</v>
      </c>
      <c r="S4" s="11" t="s">
        <v>125</v>
      </c>
      <c r="T4" s="16" t="s">
        <v>217</v>
      </c>
      <c r="U4" s="11" t="s">
        <v>119</v>
      </c>
      <c r="V4" s="11" t="s">
        <v>124</v>
      </c>
      <c r="W4" s="11" t="s">
        <v>119</v>
      </c>
      <c r="X4" s="11" t="s">
        <v>119</v>
      </c>
      <c r="Y4" s="11" t="s">
        <v>119</v>
      </c>
      <c r="Z4" s="11" t="s">
        <v>119</v>
      </c>
    </row>
    <row r="5" spans="1:27" s="12" customFormat="1" x14ac:dyDescent="0.15">
      <c r="B5" s="19" t="s">
        <v>219</v>
      </c>
      <c r="C5" s="19" t="s">
        <v>220</v>
      </c>
      <c r="D5" s="19" t="s">
        <v>221</v>
      </c>
      <c r="E5" s="20" t="s">
        <v>222</v>
      </c>
      <c r="F5" s="19" t="s">
        <v>223</v>
      </c>
      <c r="G5" s="19" t="s">
        <v>224</v>
      </c>
      <c r="H5" s="19" t="s">
        <v>225</v>
      </c>
      <c r="I5" s="20" t="s">
        <v>226</v>
      </c>
      <c r="J5" s="20" t="s">
        <v>227</v>
      </c>
      <c r="K5" s="15" t="s">
        <v>228</v>
      </c>
      <c r="L5" s="10" t="s">
        <v>229</v>
      </c>
      <c r="M5" s="10" t="s">
        <v>230</v>
      </c>
      <c r="N5" s="15" t="s">
        <v>231</v>
      </c>
      <c r="O5" s="15" t="s">
        <v>232</v>
      </c>
      <c r="P5" s="10" t="s">
        <v>233</v>
      </c>
      <c r="Q5" s="15" t="s">
        <v>234</v>
      </c>
      <c r="R5" s="10" t="s">
        <v>235</v>
      </c>
      <c r="S5" s="10" t="s">
        <v>236</v>
      </c>
      <c r="T5" s="15" t="s">
        <v>237</v>
      </c>
      <c r="U5" s="15" t="s">
        <v>238</v>
      </c>
      <c r="V5" s="10" t="s">
        <v>239</v>
      </c>
      <c r="W5" s="10" t="s">
        <v>240</v>
      </c>
      <c r="X5" s="10" t="s">
        <v>241</v>
      </c>
      <c r="Y5" s="10" t="s">
        <v>242</v>
      </c>
      <c r="Z5" s="10" t="s">
        <v>243</v>
      </c>
    </row>
    <row r="6" spans="1:27" s="12" customFormat="1" x14ac:dyDescent="0.15">
      <c r="B6" s="21" t="s">
        <v>244</v>
      </c>
      <c r="C6" s="21" t="s">
        <v>245</v>
      </c>
      <c r="D6" s="21"/>
      <c r="E6" s="22" t="s">
        <v>245</v>
      </c>
      <c r="F6" s="21"/>
      <c r="G6" s="21" t="s">
        <v>245</v>
      </c>
      <c r="H6" s="21"/>
      <c r="I6" s="22"/>
      <c r="J6" s="22"/>
      <c r="K6" s="16"/>
      <c r="L6" s="11" t="s">
        <v>164</v>
      </c>
      <c r="M6" s="11"/>
      <c r="N6" s="16"/>
      <c r="O6" s="16"/>
      <c r="P6" s="21" t="s">
        <v>246</v>
      </c>
      <c r="Q6" s="11"/>
      <c r="R6" s="11"/>
      <c r="S6" s="11" t="s">
        <v>247</v>
      </c>
      <c r="T6" s="16"/>
      <c r="U6" s="16"/>
      <c r="V6" s="11" t="s">
        <v>248</v>
      </c>
      <c r="W6" s="11"/>
      <c r="X6" s="11"/>
      <c r="Y6" s="11"/>
      <c r="Z6" s="11"/>
    </row>
    <row r="7" spans="1:27" s="31" customFormat="1" x14ac:dyDescent="0.15">
      <c r="A7" s="31" t="s">
        <v>214</v>
      </c>
      <c r="B7" s="31" t="s">
        <v>249</v>
      </c>
      <c r="C7" s="31" t="s">
        <v>389</v>
      </c>
      <c r="D7" s="31" t="s">
        <v>250</v>
      </c>
      <c r="E7" s="31" t="s">
        <v>392</v>
      </c>
      <c r="F7" s="31" t="s">
        <v>251</v>
      </c>
      <c r="G7" s="31" t="s">
        <v>394</v>
      </c>
      <c r="H7" s="31" t="s">
        <v>252</v>
      </c>
      <c r="I7" s="31">
        <v>0</v>
      </c>
      <c r="J7" s="31">
        <v>6</v>
      </c>
      <c r="K7" s="31">
        <v>6002</v>
      </c>
      <c r="L7" s="31" t="s">
        <v>396</v>
      </c>
      <c r="M7" s="31" t="s">
        <v>253</v>
      </c>
      <c r="N7" s="31" t="s">
        <v>254</v>
      </c>
      <c r="O7" s="31">
        <v>5</v>
      </c>
      <c r="R7" s="31">
        <v>999999</v>
      </c>
      <c r="S7" s="31" t="s">
        <v>255</v>
      </c>
      <c r="U7" s="31">
        <v>-1</v>
      </c>
      <c r="W7" s="31">
        <v>1</v>
      </c>
      <c r="X7" s="31">
        <v>0</v>
      </c>
      <c r="Y7" s="31">
        <v>0</v>
      </c>
      <c r="Z7" s="31">
        <v>60026001</v>
      </c>
    </row>
    <row r="8" spans="1:27" s="37" customFormat="1" x14ac:dyDescent="0.15"/>
    <row r="9" spans="1:27" s="37" customFormat="1" x14ac:dyDescent="0.15">
      <c r="B9" s="37" t="s">
        <v>388</v>
      </c>
      <c r="C9" s="37" t="s">
        <v>391</v>
      </c>
      <c r="E9" s="37" t="s">
        <v>393</v>
      </c>
      <c r="G9" s="37" t="s">
        <v>395</v>
      </c>
      <c r="I9" s="37">
        <v>1</v>
      </c>
      <c r="J9" s="37">
        <v>6</v>
      </c>
      <c r="K9" s="37">
        <v>6001</v>
      </c>
      <c r="L9" s="37" t="s">
        <v>397</v>
      </c>
      <c r="O9" s="37">
        <v>3</v>
      </c>
      <c r="R9" s="37">
        <v>999999</v>
      </c>
      <c r="V9" s="37" t="s">
        <v>398</v>
      </c>
      <c r="W9" s="37">
        <v>1</v>
      </c>
      <c r="X9" s="37">
        <v>0</v>
      </c>
      <c r="Y9" s="37">
        <v>0</v>
      </c>
      <c r="Z9" s="37">
        <v>60013001</v>
      </c>
      <c r="AA9" s="37" t="s">
        <v>409</v>
      </c>
    </row>
  </sheetData>
  <phoneticPr fontId="7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1F846-1164-406C-A1EF-0470CCA86E69}">
  <sheetPr>
    <tabColor theme="2"/>
  </sheetPr>
  <dimension ref="A1:AF9"/>
  <sheetViews>
    <sheetView workbookViewId="0">
      <selection activeCell="F30" sqref="F30"/>
    </sheetView>
  </sheetViews>
  <sheetFormatPr defaultRowHeight="13.5" x14ac:dyDescent="0.15"/>
  <sheetData>
    <row r="1" spans="1:32" x14ac:dyDescent="0.15">
      <c r="A1" s="12" t="s">
        <v>258</v>
      </c>
    </row>
    <row r="2" spans="1:32" x14ac:dyDescent="0.15">
      <c r="A2" t="s">
        <v>72</v>
      </c>
      <c r="B2" s="14" t="s">
        <v>259</v>
      </c>
      <c r="C2" s="14" t="s">
        <v>260</v>
      </c>
      <c r="D2" s="14" t="s">
        <v>261</v>
      </c>
      <c r="E2" s="14" t="s">
        <v>262</v>
      </c>
      <c r="F2" s="14" t="s">
        <v>263</v>
      </c>
      <c r="G2" s="14" t="s">
        <v>264</v>
      </c>
      <c r="H2" s="14" t="s">
        <v>265</v>
      </c>
      <c r="I2" s="14" t="s">
        <v>266</v>
      </c>
      <c r="J2" s="14" t="s">
        <v>267</v>
      </c>
      <c r="K2" s="14" t="s">
        <v>268</v>
      </c>
      <c r="L2" s="14" t="s">
        <v>269</v>
      </c>
      <c r="M2" s="14" t="s">
        <v>270</v>
      </c>
      <c r="N2" s="14" t="s">
        <v>271</v>
      </c>
      <c r="O2" s="14" t="s">
        <v>272</v>
      </c>
      <c r="P2" s="14" t="s">
        <v>273</v>
      </c>
      <c r="Q2" s="14" t="s">
        <v>274</v>
      </c>
      <c r="R2" s="14" t="s">
        <v>275</v>
      </c>
      <c r="S2" s="14" t="s">
        <v>276</v>
      </c>
      <c r="T2" s="14" t="s">
        <v>277</v>
      </c>
      <c r="U2" s="14" t="s">
        <v>278</v>
      </c>
      <c r="V2" s="14" t="s">
        <v>279</v>
      </c>
      <c r="W2" s="14" t="s">
        <v>280</v>
      </c>
      <c r="X2" s="14" t="s">
        <v>281</v>
      </c>
      <c r="Y2" s="14" t="s">
        <v>282</v>
      </c>
      <c r="Z2" s="14" t="s">
        <v>283</v>
      </c>
      <c r="AA2" s="14" t="s">
        <v>284</v>
      </c>
      <c r="AB2" s="14" t="s">
        <v>285</v>
      </c>
      <c r="AC2" s="14" t="s">
        <v>286</v>
      </c>
      <c r="AD2" s="14" t="s">
        <v>287</v>
      </c>
      <c r="AE2" s="14" t="s">
        <v>288</v>
      </c>
      <c r="AF2" s="14" t="s">
        <v>289</v>
      </c>
    </row>
    <row r="3" spans="1:32" x14ac:dyDescent="0.15">
      <c r="A3" t="s">
        <v>290</v>
      </c>
      <c r="B3" s="15" t="s">
        <v>115</v>
      </c>
      <c r="C3" s="15" t="s">
        <v>115</v>
      </c>
      <c r="D3" s="15" t="s">
        <v>115</v>
      </c>
      <c r="E3" s="15" t="s">
        <v>115</v>
      </c>
      <c r="F3" s="15" t="s">
        <v>115</v>
      </c>
      <c r="G3" s="15" t="s">
        <v>115</v>
      </c>
      <c r="H3" s="15" t="s">
        <v>115</v>
      </c>
      <c r="I3" s="15" t="s">
        <v>115</v>
      </c>
      <c r="J3" s="15" t="s">
        <v>115</v>
      </c>
      <c r="K3" s="15" t="s">
        <v>115</v>
      </c>
      <c r="L3" s="15" t="s">
        <v>115</v>
      </c>
      <c r="M3" s="15" t="s">
        <v>115</v>
      </c>
      <c r="N3" s="15" t="s">
        <v>115</v>
      </c>
      <c r="O3" s="15" t="s">
        <v>115</v>
      </c>
      <c r="P3" s="15" t="s">
        <v>115</v>
      </c>
      <c r="Q3" s="15" t="s">
        <v>115</v>
      </c>
      <c r="R3" s="15" t="s">
        <v>115</v>
      </c>
      <c r="S3" s="23" t="s">
        <v>115</v>
      </c>
      <c r="T3" s="15" t="s">
        <v>115</v>
      </c>
      <c r="U3" s="15" t="s">
        <v>115</v>
      </c>
      <c r="V3" s="15" t="s">
        <v>115</v>
      </c>
      <c r="W3" s="15" t="s">
        <v>115</v>
      </c>
      <c r="X3" s="15" t="s">
        <v>115</v>
      </c>
      <c r="Y3" s="15" t="s">
        <v>115</v>
      </c>
      <c r="Z3" s="15" t="s">
        <v>115</v>
      </c>
      <c r="AA3" s="15" t="s">
        <v>115</v>
      </c>
      <c r="AB3" s="15" t="s">
        <v>115</v>
      </c>
      <c r="AC3" s="15" t="s">
        <v>115</v>
      </c>
      <c r="AD3" s="15" t="s">
        <v>115</v>
      </c>
      <c r="AE3" s="15" t="s">
        <v>115</v>
      </c>
      <c r="AF3" s="15" t="s">
        <v>115</v>
      </c>
    </row>
    <row r="4" spans="1:32" x14ac:dyDescent="0.15">
      <c r="B4" s="16" t="s">
        <v>74</v>
      </c>
      <c r="C4" s="16" t="s">
        <v>119</v>
      </c>
      <c r="D4" s="16" t="s">
        <v>119</v>
      </c>
      <c r="E4" s="16" t="s">
        <v>119</v>
      </c>
      <c r="F4" s="16" t="s">
        <v>119</v>
      </c>
      <c r="G4" s="16" t="s">
        <v>119</v>
      </c>
      <c r="H4" s="16" t="s">
        <v>119</v>
      </c>
      <c r="I4" s="16" t="s">
        <v>291</v>
      </c>
      <c r="J4" s="16" t="s">
        <v>119</v>
      </c>
      <c r="K4" s="16" t="s">
        <v>119</v>
      </c>
      <c r="L4" s="16" t="s">
        <v>291</v>
      </c>
      <c r="M4" s="16" t="s">
        <v>291</v>
      </c>
      <c r="N4" s="16" t="s">
        <v>291</v>
      </c>
      <c r="O4" s="16" t="s">
        <v>291</v>
      </c>
      <c r="P4" s="16" t="s">
        <v>291</v>
      </c>
      <c r="Q4" s="16" t="s">
        <v>291</v>
      </c>
      <c r="R4" s="16" t="s">
        <v>291</v>
      </c>
      <c r="S4" s="16" t="s">
        <v>291</v>
      </c>
      <c r="T4" s="16" t="s">
        <v>291</v>
      </c>
      <c r="U4" s="16" t="s">
        <v>291</v>
      </c>
      <c r="V4" s="16" t="s">
        <v>291</v>
      </c>
      <c r="W4" s="16" t="s">
        <v>291</v>
      </c>
      <c r="X4" s="16" t="s">
        <v>291</v>
      </c>
      <c r="Y4" s="16" t="s">
        <v>291</v>
      </c>
      <c r="Z4" s="16" t="s">
        <v>291</v>
      </c>
      <c r="AA4" s="16" t="s">
        <v>291</v>
      </c>
      <c r="AB4" s="16" t="s">
        <v>291</v>
      </c>
      <c r="AC4" s="16" t="s">
        <v>291</v>
      </c>
      <c r="AD4" s="16" t="s">
        <v>291</v>
      </c>
      <c r="AE4" s="16" t="s">
        <v>119</v>
      </c>
      <c r="AF4" s="16" t="s">
        <v>291</v>
      </c>
    </row>
    <row r="5" spans="1:32" x14ac:dyDescent="0.15">
      <c r="B5" s="15" t="s">
        <v>292</v>
      </c>
      <c r="C5" s="15" t="s">
        <v>293</v>
      </c>
      <c r="D5" s="15" t="s">
        <v>294</v>
      </c>
      <c r="E5" s="15" t="s">
        <v>295</v>
      </c>
      <c r="F5" s="15" t="s">
        <v>296</v>
      </c>
      <c r="G5" s="15" t="s">
        <v>297</v>
      </c>
      <c r="H5" s="15" t="s">
        <v>298</v>
      </c>
      <c r="I5" s="15" t="s">
        <v>299</v>
      </c>
      <c r="J5" s="15" t="s">
        <v>300</v>
      </c>
      <c r="K5" s="15" t="s">
        <v>301</v>
      </c>
      <c r="L5" s="15" t="s">
        <v>302</v>
      </c>
      <c r="M5" s="15" t="s">
        <v>303</v>
      </c>
      <c r="N5" s="15" t="s">
        <v>304</v>
      </c>
      <c r="O5" s="15" t="s">
        <v>305</v>
      </c>
      <c r="P5" s="15" t="s">
        <v>306</v>
      </c>
      <c r="Q5" s="15" t="s">
        <v>307</v>
      </c>
      <c r="R5" s="15" t="s">
        <v>308</v>
      </c>
      <c r="S5" s="15" t="s">
        <v>309</v>
      </c>
      <c r="T5" s="15" t="s">
        <v>310</v>
      </c>
      <c r="U5" s="15" t="s">
        <v>311</v>
      </c>
      <c r="V5" s="15" t="s">
        <v>312</v>
      </c>
      <c r="W5" s="15" t="s">
        <v>313</v>
      </c>
      <c r="X5" s="15" t="s">
        <v>314</v>
      </c>
      <c r="Y5" s="15" t="s">
        <v>315</v>
      </c>
      <c r="Z5" s="15" t="s">
        <v>316</v>
      </c>
      <c r="AA5" s="15" t="s">
        <v>317</v>
      </c>
      <c r="AB5" s="15" t="s">
        <v>318</v>
      </c>
      <c r="AC5" s="15" t="s">
        <v>319</v>
      </c>
      <c r="AD5" s="15" t="s">
        <v>320</v>
      </c>
      <c r="AE5" s="15" t="s">
        <v>321</v>
      </c>
      <c r="AF5" s="15" t="s">
        <v>322</v>
      </c>
    </row>
    <row r="6" spans="1:32" x14ac:dyDescent="0.15">
      <c r="B6" s="16" t="s">
        <v>75</v>
      </c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24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</row>
    <row r="7" spans="1:32" s="37" customFormat="1" x14ac:dyDescent="0.15">
      <c r="A7" s="37" t="s">
        <v>215</v>
      </c>
      <c r="B7" s="37" t="s">
        <v>323</v>
      </c>
      <c r="C7" s="37">
        <v>1000</v>
      </c>
      <c r="D7" s="37">
        <v>0</v>
      </c>
      <c r="E7" s="37">
        <v>0</v>
      </c>
      <c r="F7" s="37">
        <v>0</v>
      </c>
      <c r="G7" s="37">
        <v>1000</v>
      </c>
      <c r="H7" s="37">
        <v>1000</v>
      </c>
      <c r="I7" s="37">
        <v>0</v>
      </c>
      <c r="J7" s="37">
        <v>100</v>
      </c>
      <c r="K7" s="37">
        <v>0</v>
      </c>
      <c r="L7" s="37">
        <v>0</v>
      </c>
      <c r="M7" s="37">
        <v>0.5</v>
      </c>
      <c r="N7" s="37">
        <v>1.2</v>
      </c>
      <c r="O7" s="37">
        <v>1.5</v>
      </c>
      <c r="P7" s="37">
        <v>0</v>
      </c>
      <c r="Q7" s="37">
        <v>0</v>
      </c>
      <c r="R7" s="37">
        <v>0</v>
      </c>
      <c r="S7" s="37">
        <v>0</v>
      </c>
      <c r="T7" s="37">
        <v>0</v>
      </c>
      <c r="U7" s="37">
        <v>0</v>
      </c>
      <c r="V7" s="37">
        <v>0</v>
      </c>
      <c r="W7" s="37">
        <v>0</v>
      </c>
      <c r="X7" s="37">
        <v>0</v>
      </c>
      <c r="Y7" s="37">
        <v>0</v>
      </c>
      <c r="Z7" s="37">
        <v>1</v>
      </c>
      <c r="AA7" s="37">
        <v>0</v>
      </c>
      <c r="AB7" s="37">
        <v>0</v>
      </c>
      <c r="AC7" s="37">
        <v>0</v>
      </c>
      <c r="AD7" s="37">
        <v>1</v>
      </c>
      <c r="AE7" s="37">
        <v>1</v>
      </c>
      <c r="AF7" s="37">
        <v>0</v>
      </c>
    </row>
    <row r="8" spans="1:32" s="37" customFormat="1" x14ac:dyDescent="0.15"/>
    <row r="9" spans="1:32" s="37" customFormat="1" ht="14.25" x14ac:dyDescent="0.15">
      <c r="B9" s="37" t="s">
        <v>256</v>
      </c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</row>
  </sheetData>
  <phoneticPr fontId="7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66E1F-62B8-4743-A1F4-B3FE550248B2}">
  <sheetPr>
    <tabColor theme="2"/>
  </sheetPr>
  <dimension ref="A1:H10"/>
  <sheetViews>
    <sheetView workbookViewId="0">
      <selection activeCell="D10" sqref="D10"/>
    </sheetView>
  </sheetViews>
  <sheetFormatPr defaultRowHeight="13.5" x14ac:dyDescent="0.15"/>
  <cols>
    <col min="2" max="2" width="17.25" bestFit="1" customWidth="1"/>
    <col min="4" max="5" width="22.75" bestFit="1" customWidth="1"/>
    <col min="7" max="7" width="22.75" bestFit="1" customWidth="1"/>
  </cols>
  <sheetData>
    <row r="1" spans="1:8" s="25" customFormat="1" x14ac:dyDescent="0.15">
      <c r="A1" s="25" t="s">
        <v>334</v>
      </c>
      <c r="B1" s="26" t="s">
        <v>352</v>
      </c>
    </row>
    <row r="2" spans="1:8" s="25" customFormat="1" x14ac:dyDescent="0.15">
      <c r="A2" s="12" t="s">
        <v>72</v>
      </c>
      <c r="B2" s="14" t="s">
        <v>335</v>
      </c>
      <c r="C2" s="14" t="s">
        <v>336</v>
      </c>
      <c r="D2" s="14" t="s">
        <v>337</v>
      </c>
      <c r="E2" s="14" t="s">
        <v>338</v>
      </c>
      <c r="F2" s="14" t="s">
        <v>192</v>
      </c>
      <c r="G2" s="14" t="s">
        <v>339</v>
      </c>
      <c r="H2" s="14" t="s">
        <v>192</v>
      </c>
    </row>
    <row r="3" spans="1:8" s="25" customFormat="1" x14ac:dyDescent="0.15">
      <c r="A3" s="12" t="s">
        <v>290</v>
      </c>
      <c r="B3" s="10" t="s">
        <v>115</v>
      </c>
      <c r="C3" s="15" t="s">
        <v>118</v>
      </c>
      <c r="D3" s="15" t="s">
        <v>118</v>
      </c>
      <c r="E3" s="15" t="s">
        <v>216</v>
      </c>
      <c r="F3" s="15" t="s">
        <v>215</v>
      </c>
      <c r="G3" s="15" t="s">
        <v>216</v>
      </c>
      <c r="H3" s="15" t="s">
        <v>215</v>
      </c>
    </row>
    <row r="4" spans="1:8" s="25" customFormat="1" x14ac:dyDescent="0.15">
      <c r="B4" s="11" t="s">
        <v>74</v>
      </c>
      <c r="C4" s="16" t="s">
        <v>126</v>
      </c>
      <c r="D4" s="16" t="s">
        <v>126</v>
      </c>
      <c r="E4" s="16" t="s">
        <v>217</v>
      </c>
      <c r="F4" s="16" t="s">
        <v>218</v>
      </c>
      <c r="G4" s="16" t="s">
        <v>217</v>
      </c>
      <c r="H4" s="16" t="s">
        <v>218</v>
      </c>
    </row>
    <row r="5" spans="1:8" s="25" customFormat="1" x14ac:dyDescent="0.15">
      <c r="B5" s="15" t="s">
        <v>219</v>
      </c>
      <c r="C5" s="15" t="s">
        <v>340</v>
      </c>
      <c r="D5" s="15" t="s">
        <v>341</v>
      </c>
      <c r="E5" s="15" t="s">
        <v>342</v>
      </c>
      <c r="F5" s="15" t="s">
        <v>218</v>
      </c>
      <c r="G5" s="15" t="s">
        <v>343</v>
      </c>
      <c r="H5" s="15" t="s">
        <v>218</v>
      </c>
    </row>
    <row r="6" spans="1:8" s="25" customFormat="1" x14ac:dyDescent="0.15">
      <c r="B6" s="11" t="s">
        <v>75</v>
      </c>
      <c r="C6" s="16"/>
      <c r="D6" s="11" t="s">
        <v>344</v>
      </c>
      <c r="E6" s="11" t="s">
        <v>164</v>
      </c>
      <c r="F6" s="16"/>
      <c r="G6" s="11" t="s">
        <v>164</v>
      </c>
      <c r="H6" s="16"/>
    </row>
    <row r="7" spans="1:8" s="31" customFormat="1" x14ac:dyDescent="0.15">
      <c r="A7" s="31" t="s">
        <v>214</v>
      </c>
      <c r="B7" s="31" t="s">
        <v>345</v>
      </c>
      <c r="C7" s="31" t="s">
        <v>346</v>
      </c>
      <c r="D7" s="31" t="s">
        <v>347</v>
      </c>
      <c r="E7" s="31" t="s">
        <v>427</v>
      </c>
      <c r="F7" s="31" t="s">
        <v>348</v>
      </c>
      <c r="G7" s="31" t="s">
        <v>429</v>
      </c>
      <c r="H7" s="31" t="s">
        <v>349</v>
      </c>
    </row>
    <row r="8" spans="1:8" s="37" customFormat="1" x14ac:dyDescent="0.15"/>
    <row r="9" spans="1:8" s="37" customFormat="1" x14ac:dyDescent="0.15">
      <c r="A9" s="37" t="s">
        <v>351</v>
      </c>
      <c r="B9" s="37" t="s">
        <v>350</v>
      </c>
      <c r="C9" s="31" t="s">
        <v>410</v>
      </c>
      <c r="D9" s="37" t="s">
        <v>411</v>
      </c>
      <c r="E9" s="37" t="s">
        <v>428</v>
      </c>
      <c r="G9" s="37" t="s">
        <v>430</v>
      </c>
    </row>
    <row r="10" spans="1:8" s="37" customFormat="1" x14ac:dyDescent="0.15">
      <c r="B10" s="37" t="s">
        <v>444</v>
      </c>
      <c r="C10" s="37" t="s">
        <v>441</v>
      </c>
      <c r="D10" s="37" t="s">
        <v>442</v>
      </c>
      <c r="E10" s="37" t="s">
        <v>445</v>
      </c>
      <c r="G10" s="37" t="s">
        <v>446</v>
      </c>
    </row>
  </sheetData>
  <phoneticPr fontId="7" type="noConversion"/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592E25-63F4-45E8-A59A-6B1DA8823E41}">
  <sheetPr>
    <tabColor theme="2"/>
  </sheetPr>
  <dimension ref="A1:M12"/>
  <sheetViews>
    <sheetView workbookViewId="0">
      <selection activeCell="R15" sqref="R15"/>
    </sheetView>
  </sheetViews>
  <sheetFormatPr defaultRowHeight="13.5" x14ac:dyDescent="0.15"/>
  <cols>
    <col min="13" max="13" width="21.625" bestFit="1" customWidth="1"/>
  </cols>
  <sheetData>
    <row r="1" spans="1:13" s="12" customFormat="1" x14ac:dyDescent="0.15">
      <c r="A1" s="27" t="s">
        <v>355</v>
      </c>
      <c r="B1" s="25"/>
      <c r="C1" s="25"/>
      <c r="D1" s="25"/>
      <c r="E1" s="25"/>
      <c r="F1" s="25"/>
      <c r="G1" s="25"/>
      <c r="I1" s="25"/>
      <c r="J1" s="25"/>
      <c r="K1" s="25"/>
      <c r="L1" s="25"/>
      <c r="M1" s="25"/>
    </row>
    <row r="2" spans="1:13" s="12" customFormat="1" x14ac:dyDescent="0.15">
      <c r="A2" s="25"/>
      <c r="B2" s="9" t="s">
        <v>356</v>
      </c>
      <c r="C2" s="9" t="s">
        <v>357</v>
      </c>
      <c r="D2" s="9" t="s">
        <v>358</v>
      </c>
      <c r="E2" s="9" t="s">
        <v>359</v>
      </c>
      <c r="F2" s="9" t="s">
        <v>360</v>
      </c>
      <c r="G2" s="9" t="s">
        <v>361</v>
      </c>
      <c r="H2" s="9" t="s">
        <v>362</v>
      </c>
      <c r="I2" s="9" t="s">
        <v>363</v>
      </c>
      <c r="J2" s="9" t="s">
        <v>364</v>
      </c>
      <c r="K2" s="9" t="s">
        <v>365</v>
      </c>
      <c r="L2" s="9" t="s">
        <v>366</v>
      </c>
      <c r="M2" s="9" t="s">
        <v>367</v>
      </c>
    </row>
    <row r="3" spans="1:13" s="12" customFormat="1" x14ac:dyDescent="0.15">
      <c r="A3" s="25"/>
      <c r="B3" s="10" t="s">
        <v>115</v>
      </c>
      <c r="C3" s="10" t="s">
        <v>115</v>
      </c>
      <c r="D3" s="10" t="s">
        <v>115</v>
      </c>
      <c r="E3" s="10" t="s">
        <v>116</v>
      </c>
      <c r="F3" s="10" t="s">
        <v>115</v>
      </c>
      <c r="G3" s="10" t="s">
        <v>115</v>
      </c>
      <c r="H3" s="10" t="s">
        <v>115</v>
      </c>
      <c r="I3" s="10" t="s">
        <v>115</v>
      </c>
      <c r="J3" s="10" t="s">
        <v>115</v>
      </c>
      <c r="K3" s="10" t="s">
        <v>115</v>
      </c>
      <c r="L3" s="10" t="s">
        <v>115</v>
      </c>
      <c r="M3" s="10" t="s">
        <v>115</v>
      </c>
    </row>
    <row r="4" spans="1:13" s="12" customFormat="1" x14ac:dyDescent="0.15">
      <c r="A4" s="25"/>
      <c r="B4" s="11" t="s">
        <v>126</v>
      </c>
      <c r="C4" s="11" t="s">
        <v>126</v>
      </c>
      <c r="D4" s="11" t="s">
        <v>74</v>
      </c>
      <c r="E4" s="11" t="s">
        <v>126</v>
      </c>
      <c r="F4" s="11" t="s">
        <v>368</v>
      </c>
      <c r="G4" s="11" t="s">
        <v>368</v>
      </c>
      <c r="H4" s="11" t="s">
        <v>119</v>
      </c>
      <c r="I4" s="11" t="s">
        <v>120</v>
      </c>
      <c r="J4" s="11" t="s">
        <v>369</v>
      </c>
      <c r="K4" s="11" t="s">
        <v>120</v>
      </c>
      <c r="L4" s="11" t="s">
        <v>122</v>
      </c>
      <c r="M4" s="11" t="s">
        <v>126</v>
      </c>
    </row>
    <row r="5" spans="1:13" s="12" customFormat="1" x14ac:dyDescent="0.15">
      <c r="B5" s="10" t="s">
        <v>292</v>
      </c>
      <c r="C5" s="10" t="s">
        <v>370</v>
      </c>
      <c r="D5" s="10" t="s">
        <v>371</v>
      </c>
      <c r="E5" s="10" t="s">
        <v>372</v>
      </c>
      <c r="F5" s="10" t="s">
        <v>373</v>
      </c>
      <c r="G5" s="10" t="s">
        <v>374</v>
      </c>
      <c r="H5" s="10" t="s">
        <v>375</v>
      </c>
      <c r="I5" s="10" t="s">
        <v>376</v>
      </c>
      <c r="J5" s="10" t="s">
        <v>377</v>
      </c>
      <c r="K5" s="10" t="s">
        <v>378</v>
      </c>
      <c r="L5" s="10" t="s">
        <v>379</v>
      </c>
      <c r="M5" s="10" t="s">
        <v>380</v>
      </c>
    </row>
    <row r="6" spans="1:13" s="12" customFormat="1" x14ac:dyDescent="0.15">
      <c r="B6" s="11" t="s">
        <v>75</v>
      </c>
      <c r="C6" s="11"/>
      <c r="D6" s="11"/>
      <c r="E6" s="11" t="s">
        <v>248</v>
      </c>
      <c r="F6" s="11"/>
      <c r="G6" s="11"/>
      <c r="H6" s="11"/>
      <c r="I6" s="11"/>
      <c r="J6" s="11"/>
      <c r="K6" s="11"/>
      <c r="L6" s="11"/>
      <c r="M6" s="11" t="s">
        <v>381</v>
      </c>
    </row>
    <row r="7" spans="1:13" s="31" customFormat="1" x14ac:dyDescent="0.15">
      <c r="A7" s="31" t="s">
        <v>214</v>
      </c>
      <c r="B7" s="31" t="s">
        <v>382</v>
      </c>
      <c r="C7" s="31" t="s">
        <v>383</v>
      </c>
      <c r="E7" s="31" t="s">
        <v>384</v>
      </c>
      <c r="F7" s="31">
        <v>240</v>
      </c>
      <c r="G7" s="31">
        <v>7200</v>
      </c>
      <c r="H7" s="31">
        <v>10</v>
      </c>
      <c r="M7" s="31" t="s">
        <v>443</v>
      </c>
    </row>
    <row r="8" spans="1:13" s="37" customFormat="1" x14ac:dyDescent="0.15"/>
    <row r="9" spans="1:13" s="37" customFormat="1" ht="14.25" x14ac:dyDescent="0.15">
      <c r="B9" s="37" t="s">
        <v>354</v>
      </c>
      <c r="C9" s="37" t="s">
        <v>431</v>
      </c>
      <c r="E9" s="37" t="s">
        <v>434</v>
      </c>
      <c r="F9" s="28">
        <v>240</v>
      </c>
      <c r="G9" s="28">
        <v>7200</v>
      </c>
      <c r="H9" s="28">
        <v>10</v>
      </c>
      <c r="I9" s="28"/>
      <c r="J9" s="28"/>
      <c r="K9" s="28"/>
      <c r="L9" s="28"/>
      <c r="M9" s="37" t="s">
        <v>444</v>
      </c>
    </row>
    <row r="10" spans="1:13" s="37" customFormat="1" ht="14.25" x14ac:dyDescent="0.15">
      <c r="B10" s="37" t="s">
        <v>431</v>
      </c>
      <c r="C10" s="37" t="s">
        <v>432</v>
      </c>
      <c r="D10" s="37" t="s">
        <v>354</v>
      </c>
      <c r="E10" s="37" t="s">
        <v>434</v>
      </c>
      <c r="F10" s="28">
        <v>300</v>
      </c>
      <c r="G10" s="28">
        <v>8000</v>
      </c>
      <c r="H10" s="28">
        <v>11</v>
      </c>
      <c r="I10" s="28" t="s">
        <v>176</v>
      </c>
      <c r="J10" s="28" t="s">
        <v>435</v>
      </c>
      <c r="K10" s="28" t="s">
        <v>176</v>
      </c>
      <c r="L10" s="28" t="s">
        <v>436</v>
      </c>
      <c r="M10" s="37" t="s">
        <v>444</v>
      </c>
    </row>
    <row r="11" spans="1:13" s="37" customFormat="1" ht="14.25" x14ac:dyDescent="0.15">
      <c r="B11" s="37" t="s">
        <v>432</v>
      </c>
      <c r="C11" s="37" t="s">
        <v>433</v>
      </c>
      <c r="D11" s="37" t="s">
        <v>431</v>
      </c>
      <c r="E11" s="37" t="s">
        <v>434</v>
      </c>
      <c r="F11" s="28">
        <v>360</v>
      </c>
      <c r="G11" s="28">
        <v>8800</v>
      </c>
      <c r="H11" s="28">
        <v>12</v>
      </c>
      <c r="I11" s="28" t="s">
        <v>176</v>
      </c>
      <c r="J11" s="28" t="s">
        <v>437</v>
      </c>
      <c r="K11" s="28" t="s">
        <v>176</v>
      </c>
      <c r="L11" s="28" t="s">
        <v>438</v>
      </c>
      <c r="M11" s="37" t="s">
        <v>444</v>
      </c>
    </row>
    <row r="12" spans="1:13" s="37" customFormat="1" ht="14.25" x14ac:dyDescent="0.15">
      <c r="B12" s="37" t="s">
        <v>433</v>
      </c>
      <c r="D12" s="37" t="s">
        <v>432</v>
      </c>
      <c r="E12" s="37" t="s">
        <v>434</v>
      </c>
      <c r="F12" s="28">
        <v>420</v>
      </c>
      <c r="G12" s="28">
        <v>9600</v>
      </c>
      <c r="H12" s="28">
        <v>13</v>
      </c>
      <c r="I12" s="28" t="s">
        <v>176</v>
      </c>
      <c r="J12" s="28" t="s">
        <v>439</v>
      </c>
      <c r="K12" s="28" t="s">
        <v>176</v>
      </c>
      <c r="L12" s="28" t="s">
        <v>440</v>
      </c>
      <c r="M12" s="37" t="s">
        <v>444</v>
      </c>
    </row>
  </sheetData>
  <phoneticPr fontId="7" type="noConversion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B2E499-FA43-4125-A520-149E43AAA553}">
  <sheetPr>
    <tabColor theme="2"/>
  </sheetPr>
  <dimension ref="A1:O10"/>
  <sheetViews>
    <sheetView workbookViewId="0">
      <selection activeCell="J16" sqref="J16"/>
    </sheetView>
  </sheetViews>
  <sheetFormatPr defaultRowHeight="13.5" x14ac:dyDescent="0.15"/>
  <cols>
    <col min="2" max="2" width="12.75" bestFit="1" customWidth="1"/>
    <col min="5" max="5" width="13.875" bestFit="1" customWidth="1"/>
    <col min="6" max="6" width="9.5" bestFit="1" customWidth="1"/>
  </cols>
  <sheetData>
    <row r="1" spans="1:15" ht="17.25" x14ac:dyDescent="0.15">
      <c r="A1" s="29" t="s">
        <v>412</v>
      </c>
      <c r="B1" s="30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12" customFormat="1" x14ac:dyDescent="0.15">
      <c r="A2" s="29" t="s">
        <v>72</v>
      </c>
      <c r="B2" s="14" t="s">
        <v>259</v>
      </c>
      <c r="C2" s="9" t="s">
        <v>79</v>
      </c>
      <c r="D2" s="9" t="s">
        <v>413</v>
      </c>
      <c r="E2" s="9" t="s">
        <v>414</v>
      </c>
      <c r="F2" s="9" t="s">
        <v>415</v>
      </c>
      <c r="G2" s="9" t="s">
        <v>416</v>
      </c>
    </row>
    <row r="3" spans="1:15" s="12" customFormat="1" x14ac:dyDescent="0.15">
      <c r="B3" s="15" t="s">
        <v>115</v>
      </c>
      <c r="C3" s="10" t="s">
        <v>73</v>
      </c>
      <c r="D3" s="10" t="s">
        <v>80</v>
      </c>
      <c r="E3" s="10" t="s">
        <v>80</v>
      </c>
      <c r="F3" s="15" t="s">
        <v>80</v>
      </c>
      <c r="G3" s="10" t="s">
        <v>417</v>
      </c>
    </row>
    <row r="4" spans="1:15" s="12" customFormat="1" x14ac:dyDescent="0.15">
      <c r="A4" s="29"/>
      <c r="B4" s="16" t="s">
        <v>74</v>
      </c>
      <c r="C4" s="11" t="s">
        <v>73</v>
      </c>
      <c r="D4" s="11" t="s">
        <v>74</v>
      </c>
      <c r="E4" s="11" t="s">
        <v>74</v>
      </c>
      <c r="F4" s="16" t="s">
        <v>74</v>
      </c>
      <c r="G4" s="11" t="s">
        <v>126</v>
      </c>
    </row>
    <row r="5" spans="1:15" s="12" customFormat="1" x14ac:dyDescent="0.15">
      <c r="A5" s="29"/>
      <c r="B5" s="15" t="s">
        <v>292</v>
      </c>
      <c r="C5" s="10" t="s">
        <v>73</v>
      </c>
      <c r="D5" s="10" t="s">
        <v>418</v>
      </c>
      <c r="E5" s="10" t="s">
        <v>419</v>
      </c>
      <c r="F5" s="15" t="s">
        <v>420</v>
      </c>
      <c r="G5" s="10" t="s">
        <v>421</v>
      </c>
    </row>
    <row r="6" spans="1:15" s="12" customFormat="1" x14ac:dyDescent="0.15">
      <c r="A6" s="29"/>
      <c r="B6" s="16" t="s">
        <v>75</v>
      </c>
      <c r="C6" s="11"/>
      <c r="D6" s="11"/>
      <c r="E6" s="11"/>
      <c r="F6" s="16"/>
      <c r="G6" s="11"/>
    </row>
    <row r="7" spans="1:15" s="31" customFormat="1" x14ac:dyDescent="0.15">
      <c r="A7" s="31" t="s">
        <v>218</v>
      </c>
      <c r="B7" s="31" t="s">
        <v>422</v>
      </c>
      <c r="C7" s="31" t="s">
        <v>423</v>
      </c>
      <c r="D7" s="31" t="s">
        <v>424</v>
      </c>
      <c r="E7" s="31" t="s">
        <v>425</v>
      </c>
      <c r="F7" s="31" t="s">
        <v>426</v>
      </c>
    </row>
    <row r="8" spans="1:15" s="37" customFormat="1" x14ac:dyDescent="0.15"/>
    <row r="9" spans="1:15" s="37" customFormat="1" x14ac:dyDescent="0.15">
      <c r="B9" s="37" t="s">
        <v>449</v>
      </c>
      <c r="C9" s="37" t="s">
        <v>447</v>
      </c>
    </row>
    <row r="10" spans="1:15" s="37" customFormat="1" x14ac:dyDescent="0.15">
      <c r="B10" s="37" t="s">
        <v>442</v>
      </c>
      <c r="C10" s="37" t="s">
        <v>448</v>
      </c>
      <c r="D10" s="37" t="s">
        <v>434</v>
      </c>
    </row>
  </sheetData>
  <phoneticPr fontId="7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$备注</vt:lpstr>
      <vt:lpstr>HeroBase</vt:lpstr>
      <vt:lpstr>Translate</vt:lpstr>
      <vt:lpstr>ItemConfig</vt:lpstr>
      <vt:lpstr>HeroAttrConfig</vt:lpstr>
      <vt:lpstr>SurfaceConfig</vt:lpstr>
      <vt:lpstr>HeroAwaken</vt:lpstr>
      <vt:lpstr>RoleModel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狼骑士</dc:creator>
  <cp:lastModifiedBy>徐宇斌</cp:lastModifiedBy>
  <dcterms:created xsi:type="dcterms:W3CDTF">2016-01-13T07:26:34Z</dcterms:created>
  <dcterms:modified xsi:type="dcterms:W3CDTF">2022-09-22T06:30:33Z</dcterms:modified>
</cp:coreProperties>
</file>
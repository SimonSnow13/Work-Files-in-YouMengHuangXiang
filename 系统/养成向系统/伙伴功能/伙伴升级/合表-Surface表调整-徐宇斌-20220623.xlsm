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吸血鬼\系统\养成向系统\伙伴功能\伙伴升级\"/>
    </mc:Choice>
  </mc:AlternateContent>
  <xr:revisionPtr revIDLastSave="0" documentId="13_ncr:1_{EAE8E2BF-12C7-4BF9-85C6-AD00051AC65D}" xr6:coauthVersionLast="47" xr6:coauthVersionMax="47" xr10:uidLastSave="{00000000-0000-0000-0000-000000000000}"/>
  <bookViews>
    <workbookView xWindow="-28920" yWindow="-120" windowWidth="29040" windowHeight="15840" tabRatio="654" xr2:uid="{00000000-000D-0000-FFFF-FFFF00000000}"/>
  </bookViews>
  <sheets>
    <sheet name="$备注" sheetId="1" r:id="rId1"/>
    <sheet name="HeroBase" sheetId="6" r:id="rId2"/>
    <sheet name="Surface" sheetId="16" r:id="rId3"/>
    <sheet name="RoleModel" sheetId="1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9" i="6" l="1"/>
  <c r="C7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I1" authorId="0" shapeId="0" xr:uid="{6028B74C-D0DF-41A4-BEF8-DFF5E8CB17C1}">
      <text>
        <r>
          <rPr>
            <sz val="9"/>
            <rFont val="宋体"/>
            <family val="3"/>
            <charset val="134"/>
          </rPr>
          <t xml:space="preserve">1 Time(s);
Column Modified by 周家靖, on 2022/1/27, 16:53:06;
</t>
        </r>
      </text>
    </comment>
    <comment ref="B2" authorId="0" shapeId="0" xr:uid="{AEDE8F7A-F928-4020-9211-6CFB3DF1D0A4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角色ID
</t>
        </r>
        <r>
          <rPr>
            <b/>
            <sz val="9"/>
            <color indexed="81"/>
            <rFont val="宋体"/>
            <family val="3"/>
            <charset val="134"/>
          </rPr>
          <t>配置方式</t>
        </r>
        <r>
          <rPr>
            <sz val="9"/>
            <color indexed="81"/>
            <rFont val="宋体"/>
            <family val="3"/>
            <charset val="134"/>
          </rPr>
          <t>：
角色中文名，除最后一个字外，其他用首字母大写，最后一个字全拼、首字母大写。如：东文真希：DWZXi</t>
        </r>
      </text>
    </comment>
    <comment ref="C2" authorId="0" shapeId="0" xr:uid="{735DE008-170E-4E17-83BA-2FC055DD626B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角色名称ID
</t>
        </r>
        <r>
          <rPr>
            <b/>
            <sz val="9"/>
            <color indexed="81"/>
            <rFont val="宋体"/>
            <family val="3"/>
            <charset val="134"/>
          </rPr>
          <t xml:space="preserve">配置方式：
</t>
        </r>
        <r>
          <rPr>
            <sz val="9"/>
            <color indexed="81"/>
            <rFont val="宋体"/>
            <family val="3"/>
            <charset val="134"/>
          </rPr>
          <t>角色ID_Name</t>
        </r>
      </text>
    </comment>
    <comment ref="E2" authorId="0" shapeId="0" xr:uid="{7619BBFC-1645-48E7-8406-8F514A1508A8}">
      <text>
        <r>
          <rPr>
            <b/>
            <sz val="9"/>
            <rFont val="宋体"/>
            <family val="3"/>
            <charset val="134"/>
          </rPr>
          <t>徐宇斌：
作用：</t>
        </r>
        <r>
          <rPr>
            <sz val="9"/>
            <rFont val="宋体"/>
            <family val="3"/>
            <charset val="134"/>
          </rPr>
          <t xml:space="preserve">
用于判断角色是否可在游戏中显示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0:不显示
1：显示</t>
        </r>
      </text>
    </comment>
    <comment ref="F2" authorId="0" shapeId="0" xr:uid="{DE490293-223F-4F31-92FE-5AFF9B251A39}">
      <text>
        <r>
          <rPr>
            <b/>
            <sz val="9"/>
            <rFont val="宋体"/>
            <family val="3"/>
            <charset val="134"/>
          </rPr>
          <t>徐宇斌：
作用：</t>
        </r>
        <r>
          <rPr>
            <sz val="9"/>
            <rFont val="宋体"/>
            <family val="3"/>
            <charset val="134"/>
          </rPr>
          <t xml:space="preserve">
调用角色头像、立绘、模型等资源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填写RoleModel表内id</t>
        </r>
      </text>
    </comment>
    <comment ref="G2" authorId="0" shapeId="0" xr:uid="{C923D499-1BA4-4A46-A8B8-51BD8C2E2780}">
      <text>
        <r>
          <rPr>
            <b/>
            <sz val="9"/>
            <rFont val="宋体"/>
            <family val="3"/>
            <charset val="134"/>
          </rPr>
          <t xml:space="preserve">徐宇斌：
作用：
</t>
        </r>
        <r>
          <rPr>
            <sz val="9"/>
            <color indexed="81"/>
            <rFont val="宋体"/>
            <family val="3"/>
            <charset val="134"/>
          </rPr>
          <t>角色稀有度</t>
        </r>
        <r>
          <rPr>
            <b/>
            <sz val="9"/>
            <rFont val="宋体"/>
            <family val="3"/>
            <charset val="134"/>
          </rPr>
          <t xml:space="preserve">
配置方式：</t>
        </r>
        <r>
          <rPr>
            <sz val="9"/>
            <rFont val="宋体"/>
            <family val="3"/>
            <charset val="134"/>
          </rPr>
          <t xml:space="preserve">
11：R
12：SR
13：SSR
14：SP
</t>
        </r>
      </text>
    </comment>
    <comment ref="H2" authorId="0" shapeId="0" xr:uid="{78993CAE-A324-479D-8904-06C4A6A92610}">
      <text>
        <r>
          <rPr>
            <b/>
            <sz val="9"/>
            <color indexed="81"/>
            <rFont val="宋体"/>
            <family val="3"/>
            <charset val="134"/>
          </rPr>
          <t xml:space="preserve">徐宇斌:
作用：
</t>
        </r>
        <r>
          <rPr>
            <sz val="9"/>
            <color indexed="81"/>
            <rFont val="宋体"/>
            <family val="3"/>
            <charset val="134"/>
          </rPr>
          <t>角色阵营归属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</t>
        </r>
        <r>
          <rPr>
            <sz val="9"/>
            <color indexed="81"/>
            <rFont val="宋体"/>
            <family val="3"/>
            <charset val="134"/>
          </rPr>
          <t xml:space="preserve">
1:维纳斯陷阱
2：希德
3：不死鸟财团
4：东文会
5：魔女集会
6：噬梦之蛇
7：迷雾</t>
        </r>
      </text>
    </comment>
    <comment ref="I2" authorId="0" shapeId="0" xr:uid="{CC7F5B31-07D9-461C-B92D-7879D794CB09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角色登场所需花费的能量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填写能量数字</t>
        </r>
      </text>
    </comment>
    <comment ref="J2" authorId="0" shapeId="0" xr:uid="{E287D1DE-ABF4-4A4C-8475-90F9736DC236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角色职业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1：攻袭
2：法师
3：守护
4：治愈
5：召唤
6：光明
7：咒术</t>
        </r>
      </text>
    </comment>
    <comment ref="K2" authorId="0" shapeId="0" xr:uid="{A074CEA7-65BC-4FEB-903D-D7488F80B797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该角色的碎片道具ID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填ItemConfig表ID，一般为IHF_角色ID</t>
        </r>
      </text>
    </comment>
    <comment ref="P2" authorId="0" shapeId="0" xr:uid="{FDF4FF6C-6032-417A-9C78-A1B83270E5AB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角色的属性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HeroAttr表的ID
</t>
        </r>
      </text>
    </comment>
    <comment ref="Q2" authorId="0" shapeId="0" xr:uid="{83F750CD-96E0-4DE9-84D2-993981B7413E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直接显示在角色界面的属性，一般是攻防血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AtteConfig表内ID</t>
        </r>
      </text>
    </comment>
    <comment ref="R2" authorId="0" shapeId="0" xr:uid="{BB9121FE-8E5D-42DC-8C9B-2B0C5CE7476F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对应前一列属性的数值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对应具体数值</t>
        </r>
      </text>
    </comment>
    <comment ref="S2" authorId="0" shapeId="0" xr:uid="{D086446A-2190-4739-A082-63D59BDBAE04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不同品质角色每次升级属性的变化，详见备注页属性公式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配HeroGrow表ID</t>
        </r>
      </text>
    </comment>
    <comment ref="T2" authorId="0" shapeId="0" xr:uid="{C277C3C0-58B4-4BD4-9BAF-5FA4A71B2298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升品时增加属性的类型，详见备注页属性公式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AttrConfig表ID
</t>
        </r>
      </text>
    </comment>
    <comment ref="U2" authorId="0" shapeId="0" xr:uid="{2C602DFC-FB99-41A2-A4F1-FD7E9BDD1162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升品时增加属性的比例，详见备注页属性公式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支持小数配置</t>
        </r>
      </text>
    </comment>
    <comment ref="V2" authorId="0" shapeId="0" xr:uid="{BF39ACF8-7EA2-4359-88A8-BC529FD2069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用于升星时属性计算，详见备注页属性公式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AttrConfig表ID</t>
        </r>
      </text>
    </comment>
    <comment ref="W2" authorId="0" shapeId="0" xr:uid="{EBC2A71F-E86C-4719-8BD1-83B9B935496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用于升星属性计算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对应数值</t>
        </r>
      </text>
    </comment>
    <comment ref="X2" authorId="0" shapeId="0" xr:uid="{EFFB35BC-2418-428C-8160-64BEC52BE0E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用于调取升每一级所需经验、金币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调用HeroExp表ID</t>
        </r>
      </text>
    </comment>
    <comment ref="Y2" authorId="0" shapeId="0" xr:uid="{D729D0E4-6A0F-4639-9C6A-F638B497A76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与角色升品消耗、升品属性变动相关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填写HeroQuality表对应稀有度的初始品质ID</t>
        </r>
      </text>
    </comment>
    <comment ref="Z2" authorId="0" shapeId="0" xr:uid="{92CA53B4-4E9B-4876-A779-6F839AA7961B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与角色升星消耗、升星属性变动相关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填写HeroStarEffect表对应稀有度的初始星级ID</t>
        </r>
      </text>
    </comment>
    <comment ref="AA2" authorId="0" shapeId="0" xr:uid="{7936CBF0-9868-496A-9D06-F7BBBB3711EA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角色CV名字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配translate表ID</t>
        </r>
      </text>
    </comment>
    <comment ref="AB2" authorId="0" shapeId="0" xr:uid="{BC5D39EE-7003-4C11-BF2C-757D282E979A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角色气泡可能出现的所有文本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配translate表ID</t>
        </r>
      </text>
    </comment>
    <comment ref="AC2" authorId="0" shapeId="0" xr:uid="{5E5CE133-3883-48F2-8C91-C896CAE80D6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暂时没做语音</t>
        </r>
      </text>
    </comment>
    <comment ref="AD2" authorId="0" shapeId="0" xr:uid="{A1B0C194-EDC9-435C-811F-B4D90F746CF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暂时没做皮肤</t>
        </r>
      </text>
    </comment>
    <comment ref="AE2" authorId="0" shapeId="0" xr:uid="{1484295D-CC9C-487E-B510-2F91C2AD655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用于角色预览界面的背景故事简介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填tranlate表ID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0A27FF3C-B897-4BB1-A6D5-B309ECD76343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2" authorId="0" shapeId="0" xr:uid="{65AEA4F6-7E2F-4AFA-944B-F82D7D9B7129}">
      <text>
        <r>
          <rPr>
            <b/>
            <sz val="9"/>
            <rFont val="宋体"/>
            <family val="3"/>
            <charset val="134"/>
          </rPr>
          <t>周家靖：</t>
        </r>
        <r>
          <rPr>
            <sz val="9"/>
            <rFont val="宋体"/>
            <family val="3"/>
            <charset val="134"/>
          </rPr>
          <t xml:space="preserve">
填角色模型资源的名称</t>
        </r>
      </text>
    </comment>
    <comment ref="E2" authorId="0" shapeId="0" xr:uid="{865B6042-7916-4C21-A852-BB8437A32A19}">
      <text>
        <r>
          <rPr>
            <b/>
            <sz val="9"/>
            <rFont val="宋体"/>
            <family val="3"/>
            <charset val="134"/>
          </rPr>
          <t>周家靖：</t>
        </r>
        <r>
          <rPr>
            <sz val="9"/>
            <rFont val="宋体"/>
            <family val="3"/>
            <charset val="134"/>
          </rPr>
          <t xml:space="preserve">
填角色立绘资源的名称
若无立绘此处填写null</t>
        </r>
      </text>
    </comment>
    <comment ref="F2" authorId="0" shapeId="0" xr:uid="{2BFA8B20-648C-4B9D-8AC0-2C1A66B1933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主角和英魂的基础头像图片
其他小的头像都用这个切</t>
        </r>
      </text>
    </comment>
  </commentList>
</comments>
</file>

<file path=xl/sharedStrings.xml><?xml version="1.0" encoding="utf-8"?>
<sst xmlns="http://schemas.openxmlformats.org/spreadsheetml/2006/main" count="390" uniqueCount="265">
  <si>
    <t>工作模式：</t>
    <phoneticPr fontId="7" type="noConversion"/>
  </si>
  <si>
    <t>工作模式：</t>
    <phoneticPr fontId="7" type="noConversion"/>
  </si>
  <si>
    <t>细节说明：</t>
    <phoneticPr fontId="7" type="noConversion"/>
  </si>
  <si>
    <t>工作目录：</t>
    <phoneticPr fontId="7" type="noConversion"/>
  </si>
  <si>
    <t>6.选择工作模式点击开始运行，期间在左下角状态栏会显示进度，完毕后将有提示。</t>
    <phoneticPr fontId="7" type="noConversion"/>
  </si>
  <si>
    <t>快捷键：</t>
    <phoneticPr fontId="7" type="noConversion"/>
  </si>
  <si>
    <t>Ctrl+Shift+X 对选中的单元格进行活动文档奖励标准化处理</t>
    <phoneticPr fontId="7" type="noConversion"/>
  </si>
  <si>
    <t>每次一键合表之后需要看看上底色的单元格有没有异常</t>
    <phoneticPr fontId="7" type="noConversion"/>
  </si>
  <si>
    <t>注意：</t>
    <phoneticPr fontId="7" type="noConversion"/>
  </si>
  <si>
    <t>7.推荐先选择检测模式执行，查看各个分页填充的底色核对结果，之后再正式合表。</t>
    <phoneticPr fontId="7" type="noConversion"/>
  </si>
  <si>
    <t>控制功能：</t>
    <phoneticPr fontId="7" type="noConversion"/>
  </si>
  <si>
    <t>2.复制要合表的工作簿表头，粘贴到新建的分页，一般表头是6行。</t>
    <phoneticPr fontId="7" type="noConversion"/>
  </si>
  <si>
    <t>4.分页中的每行数据，可以是已存在的，将会进行修改操作，也可以是不存在的，将会进行插入操作。</t>
    <phoneticPr fontId="7" type="noConversion"/>
  </si>
  <si>
    <t>5.通过按钮选择需要合表的目标工作簿所在路径，同时也支持直接手动填写。</t>
    <phoneticPr fontId="7" type="noConversion"/>
  </si>
  <si>
    <t>当本工作簿内的字段和目标工作簿不一致时只合并交集的部分</t>
    <phoneticPr fontId="7" type="noConversion"/>
  </si>
  <si>
    <t>删除数据行或修改数据行主键时一定要不要忘记使用“#Del”</t>
    <phoneticPr fontId="7" type="noConversion"/>
  </si>
  <si>
    <t>尤其是不可存在冗余数据的表一定要用“#Del”清除数据行</t>
    <phoneticPr fontId="7" type="noConversion"/>
  </si>
  <si>
    <t>异常处理：</t>
    <phoneticPr fontId="7" type="noConversion"/>
  </si>
  <si>
    <t>3.目标表内各个分页字段不统一</t>
    <phoneticPr fontId="7" type="noConversion"/>
  </si>
  <si>
    <t>2.目标表存在全空的空白分页</t>
    <phoneticPr fontId="7" type="noConversion"/>
  </si>
  <si>
    <t>4.目标表控制列没有填写“End”</t>
    <phoneticPr fontId="7" type="noConversion"/>
  </si>
  <si>
    <t>检测模式：此功能与精确合表逻辑相同，但是不保存任何修改，只对与本地工作簿不同的单元格进行颜色填充。</t>
    <phoneticPr fontId="7" type="noConversion"/>
  </si>
  <si>
    <t>精确合表：精确到单元格的合表，在合表的同时能精确的显示出具体修改了哪个单元格，本地与目标工作簿修改的单元格颜色填充。</t>
    <phoneticPr fontId="7" type="noConversion"/>
  </si>
  <si>
    <t>2.在控制列写上“$”代表在执行合表时忽略此数据行，程序直接跳过。</t>
    <phoneticPr fontId="7" type="noConversion"/>
  </si>
  <si>
    <t>3.在控制列写上其他文本时，代表新建此条数据行时合并到目标工作簿名称为此文本的分页，只对新建有效。</t>
    <phoneticPr fontId="7" type="noConversion"/>
  </si>
  <si>
    <t>4.控制列留空代表合表时此数据行合表到默认的目标工作簿分页，即第二个单元格的内容为名称的分页，同样只对新建有效。</t>
    <phoneticPr fontId="7" type="noConversion"/>
  </si>
  <si>
    <t>1.本表内所有行控制列无需填写Start和End标志。</t>
    <phoneticPr fontId="7" type="noConversion"/>
  </si>
  <si>
    <t>2.每个分页的名字无所谓，但是每页第一个单元格的内容将作为本页的目标工作簿，无需填写文件xlsx后缀。</t>
    <phoneticPr fontId="7" type="noConversion"/>
  </si>
  <si>
    <t>3.分页名称第一个字符是“$”号的代表本分页不是数据分页，不参与合表，例如本备注分页。</t>
    <phoneticPr fontId="7" type="noConversion"/>
  </si>
  <si>
    <t>4.如果单元格指定的分页在目标工作簿不存在则自动新建此分页，务必保证新分页有2条以上的数据行，否则将出错。</t>
    <phoneticPr fontId="7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</si>
  <si>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7" type="noConversion"/>
  </si>
  <si>
    <t>6.由于程序的原理是基于主键“PRIMARY”索引，因此修改主键字段要使用“#Del”功能实现，直接修改会变成新建插入。</t>
    <phoneticPr fontId="7" type="noConversion"/>
  </si>
  <si>
    <t>当出现异常后，先检查目标工作簿是否不符合规范。</t>
    <phoneticPr fontId="7" type="noConversion"/>
  </si>
  <si>
    <t>1.程序找不到主键字段“PRIMARY”</t>
    <phoneticPr fontId="7" type="noConversion"/>
  </si>
  <si>
    <t>5.目标表或本地数据存在#开头的报错单元格</t>
    <phoneticPr fontId="7" type="noConversion"/>
  </si>
  <si>
    <t>1.在控制列写上“#Del”将会对目标表的数据行进行删除操作。</t>
    <phoneticPr fontId="7" type="noConversion"/>
  </si>
  <si>
    <t>对列进行操作：</t>
    <phoneticPr fontId="7" type="noConversion"/>
  </si>
  <si>
    <t>开发人：庄晋升</t>
    <phoneticPr fontId="7" type="noConversion"/>
  </si>
  <si>
    <t>4.增加列时，如果页签很多，会运行一段时间，这时不要关闭等待运行</t>
    <phoneticPr fontId="7" type="noConversion"/>
  </si>
  <si>
    <t>1.点击后，删除备注之外的其他各表从第7行开始的数据</t>
    <phoneticPr fontId="7" type="noConversion"/>
  </si>
  <si>
    <t>2.此过程不可逆，要注意</t>
    <phoneticPr fontId="7" type="noConversion"/>
  </si>
  <si>
    <t>1.在本工作簿新建一个分页名称随意，分页名不要以数字开头</t>
    <phoneticPr fontId="7" type="noConversion"/>
  </si>
  <si>
    <t xml:space="preserve">     </t>
    <phoneticPr fontId="7" type="noConversion"/>
  </si>
  <si>
    <t>1.在对应列第一行添加删除标记“#ColDel”，对表中所有页签的该字段进行删除，后序列顶替前面位置</t>
    <phoneticPr fontId="7" type="noConversion"/>
  </si>
  <si>
    <t>2.在对应列第一行添加删除标记“#ColAdd”，对表中所有页签增加该字段列，添加位置为列末尾，并覆盖添加批注</t>
    <phoneticPr fontId="7" type="noConversion"/>
  </si>
  <si>
    <t>3.在对应列第一行添加修改标记“#ColModify”，对表中所有页签的该字段进行字段类型修改，并覆盖添加批注</t>
    <phoneticPr fontId="7" type="noConversion"/>
  </si>
  <si>
    <t>7.Excel在数学运算和逻辑判断中可能不对空值与0进行区分，但程序读取数值表时有可能是区分的，配置时请进行注意。（狼骑士）</t>
    <phoneticPr fontId="7" type="noConversion"/>
  </si>
  <si>
    <t>用户标识：</t>
    <phoneticPr fontId="7" type="noConversion"/>
  </si>
  <si>
    <t>清理批注密码为314.</t>
    <phoneticPr fontId="7" type="noConversion"/>
  </si>
  <si>
    <t>log功能：</t>
    <phoneticPr fontId="7" type="noConversion"/>
  </si>
  <si>
    <t>开发人：狼骑士</t>
    <phoneticPr fontId="7" type="noConversion"/>
  </si>
  <si>
    <t>1、当修改某单元格值、增加新主键、删除主键时，开始运行会在对应的xlsx的批注中标记修改人。</t>
    <phoneticPr fontId="7" type="noConversion"/>
  </si>
  <si>
    <t>2、修改值时，程序将读取批注，并提示是否盖表，弹窗有3个选项。</t>
    <phoneticPr fontId="7" type="noConversion"/>
  </si>
  <si>
    <t>5.如果要修改的行包括其他人的数据单元格不能修改，需要保持原值，则填写: #Pass (跳过这个单元格不做任何修改)</t>
    <phoneticPr fontId="7" type="noConversion"/>
  </si>
  <si>
    <t>6.如果要将数据行插入或移动到指定主键行的下面，在控制列写“##我是那个指定的主键”(指定的主键必须存在)</t>
    <phoneticPr fontId="7" type="noConversion"/>
  </si>
  <si>
    <t>7.如果要对连续的N行使用如上指定位置功能，则在首行写“#指定主键名”，在尾行写“#End”(必须成对出现)</t>
    <phoneticPr fontId="7" type="noConversion"/>
  </si>
  <si>
    <t>清空旧有内容：</t>
    <phoneticPr fontId="7" type="noConversion"/>
  </si>
  <si>
    <t>5.表格中尽量减少无关数据列</t>
    <phoneticPr fontId="7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</si>
  <si>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7" type="noConversion"/>
  </si>
  <si>
    <t>分支管理员专用：</t>
    <phoneticPr fontId="7" type="noConversion"/>
  </si>
  <si>
    <t>4、版本开发完成后，分支管理员需使用清理批注功能去除当前版本的批注，然后再合入master.</t>
    <phoneticPr fontId="7" type="noConversion"/>
  </si>
  <si>
    <t>合表类型：</t>
    <phoneticPr fontId="7" type="noConversion"/>
  </si>
  <si>
    <t>开发人：狼骑士</t>
    <phoneticPr fontId="7" type="noConversion"/>
  </si>
  <si>
    <t>普通合表：对于每一个版本内已经修改过的单元格，若存在盖表则进行提示并要求用户选择是否覆盖。</t>
    <phoneticPr fontId="7" type="noConversion"/>
  </si>
  <si>
    <t>强制合表：主要用于在少数情况下，需要大量盖表，该模式不会进行提示，合表后会统计盖表的单元格数量。</t>
    <phoneticPr fontId="7" type="noConversion"/>
  </si>
  <si>
    <t>用法说明：</t>
    <phoneticPr fontId="7" type="noConversion"/>
  </si>
  <si>
    <t>3、若修改前或修改后的值太长，会在弹窗中以省略号进行缩略。若选择盖表，程序将同步更新批注。</t>
    <phoneticPr fontId="7" type="noConversion"/>
  </si>
  <si>
    <t>该函数可以保持变量格式。考虑未来编写成vba按钮。</t>
    <phoneticPr fontId="7" type="noConversion"/>
  </si>
  <si>
    <t>翻译函数：</t>
    <phoneticPr fontId="7" type="noConversion"/>
  </si>
  <si>
    <t>翻译试试看${Num}</t>
    <phoneticPr fontId="7" type="noConversion"/>
  </si>
  <si>
    <t>是：确定盖表；否：跳过该单元格继续合表；取消：回滚冲突表的操作并结束合表流程（未冲突的表会进行保存）。</t>
    <phoneticPr fontId="7" type="noConversion"/>
  </si>
  <si>
    <t>精确合表</t>
  </si>
  <si>
    <t>徐宇斌</t>
    <phoneticPr fontId="7" type="noConversion"/>
  </si>
  <si>
    <t>控制列</t>
  </si>
  <si>
    <t>id</t>
  </si>
  <si>
    <t>名字</t>
  </si>
  <si>
    <t>$备注说明</t>
  </si>
  <si>
    <t>CS</t>
  </si>
  <si>
    <t>$</t>
  </si>
  <si>
    <t>string</t>
  </si>
  <si>
    <t>int</t>
  </si>
  <si>
    <t>_id</t>
  </si>
  <si>
    <t>Name</t>
  </si>
  <si>
    <t>Show</t>
  </si>
  <si>
    <t>PRIMARY</t>
  </si>
  <si>
    <t>FOREIGN:Translate._id</t>
    <phoneticPr fontId="22" type="noConversion"/>
  </si>
  <si>
    <t>标识</t>
  </si>
  <si>
    <t>备注</t>
  </si>
  <si>
    <t>C</t>
  </si>
  <si>
    <t>string[]</t>
  </si>
  <si>
    <t>CS</t>
    <phoneticPr fontId="22" type="noConversion"/>
  </si>
  <si>
    <t>string[]</t>
    <phoneticPr fontId="22" type="noConversion"/>
  </si>
  <si>
    <t>int[]</t>
    <phoneticPr fontId="22" type="noConversion"/>
  </si>
  <si>
    <t>double[]</t>
    <phoneticPr fontId="22" type="noConversion"/>
  </si>
  <si>
    <t>HeroBase</t>
    <phoneticPr fontId="22" type="noConversion"/>
  </si>
  <si>
    <t>标识</t>
    <phoneticPr fontId="22" type="noConversion"/>
  </si>
  <si>
    <t>是否显示</t>
  </si>
  <si>
    <t>角色模型</t>
    <phoneticPr fontId="22" type="noConversion"/>
  </si>
  <si>
    <t>资质</t>
  </si>
  <si>
    <t>阵营</t>
    <phoneticPr fontId="22" type="noConversion"/>
  </si>
  <si>
    <t>费用</t>
  </si>
  <si>
    <t>职业</t>
    <phoneticPr fontId="22" type="noConversion"/>
  </si>
  <si>
    <t>角色碎片</t>
  </si>
  <si>
    <t>被动技能</t>
    <phoneticPr fontId="22" type="noConversion"/>
  </si>
  <si>
    <t>普通攻击</t>
  </si>
  <si>
    <t>特殊技</t>
    <phoneticPr fontId="22" type="noConversion"/>
  </si>
  <si>
    <t>觉醒技</t>
    <phoneticPr fontId="22" type="noConversion"/>
  </si>
  <si>
    <t>角色属性</t>
  </si>
  <si>
    <t>基础属性类型</t>
  </si>
  <si>
    <t>基础属性值</t>
  </si>
  <si>
    <t>升级成长</t>
  </si>
  <si>
    <t>升品属性类型</t>
  </si>
  <si>
    <t>升品属性比例</t>
  </si>
  <si>
    <t>升星属性类型</t>
  </si>
  <si>
    <t>升星属性比例</t>
  </si>
  <si>
    <t>初始等级ID</t>
    <phoneticPr fontId="22" type="noConversion"/>
  </si>
  <si>
    <t>初始品质对应属性</t>
    <phoneticPr fontId="22" type="noConversion"/>
  </si>
  <si>
    <t>初始星级ID</t>
    <phoneticPr fontId="22" type="noConversion"/>
  </si>
  <si>
    <t>CV名字</t>
  </si>
  <si>
    <t>气泡文本列表</t>
    <phoneticPr fontId="22" type="noConversion"/>
  </si>
  <si>
    <t>角色语音列表</t>
    <phoneticPr fontId="22" type="noConversion"/>
  </si>
  <si>
    <t>皮肤列表</t>
  </si>
  <si>
    <t>角色简介</t>
    <phoneticPr fontId="22" type="noConversion"/>
  </si>
  <si>
    <t>C</t>
    <phoneticPr fontId="22" type="noConversion"/>
  </si>
  <si>
    <t>string</t>
    <phoneticPr fontId="22" type="noConversion"/>
  </si>
  <si>
    <t>_id</t>
    <phoneticPr fontId="22" type="noConversion"/>
  </si>
  <si>
    <t>RoleModel</t>
  </si>
  <si>
    <t>Rarity</t>
  </si>
  <si>
    <t>Party</t>
  </si>
  <si>
    <t>Cost</t>
  </si>
  <si>
    <t>Type</t>
  </si>
  <si>
    <t>Fragment</t>
  </si>
  <si>
    <t>PassiveSkill</t>
    <phoneticPr fontId="22" type="noConversion"/>
  </si>
  <si>
    <t>NormalSkill</t>
    <phoneticPr fontId="22" type="noConversion"/>
  </si>
  <si>
    <t>SpecialSkill</t>
    <phoneticPr fontId="22" type="noConversion"/>
  </si>
  <si>
    <t>UniqueSkill</t>
    <phoneticPr fontId="22" type="noConversion"/>
  </si>
  <si>
    <t>HeroAttr</t>
  </si>
  <si>
    <t>PropName</t>
    <phoneticPr fontId="22" type="noConversion"/>
  </si>
  <si>
    <t>PropValue</t>
    <phoneticPr fontId="22" type="noConversion"/>
  </si>
  <si>
    <t>GrowLevelSn</t>
    <phoneticPr fontId="22" type="noConversion"/>
  </si>
  <si>
    <t>QualityProp</t>
    <phoneticPr fontId="22" type="noConversion"/>
  </si>
  <si>
    <t>QualityRate</t>
    <phoneticPr fontId="22" type="noConversion"/>
  </si>
  <si>
    <t>StarRateProp</t>
    <phoneticPr fontId="22" type="noConversion"/>
  </si>
  <si>
    <t>StarRate</t>
    <phoneticPr fontId="22" type="noConversion"/>
  </si>
  <si>
    <t>StartLevelSn</t>
    <phoneticPr fontId="22" type="noConversion"/>
  </si>
  <si>
    <t>BaseQualityAttr</t>
  </si>
  <si>
    <t>StartStar</t>
    <phoneticPr fontId="22" type="noConversion"/>
  </si>
  <si>
    <t>CVName</t>
  </si>
  <si>
    <t>BubbleList</t>
    <phoneticPr fontId="22" type="noConversion"/>
  </si>
  <si>
    <t>HeroVoice</t>
  </si>
  <si>
    <t>SurfaceList</t>
  </si>
  <si>
    <t>HeroShowIntro</t>
  </si>
  <si>
    <t>FOREIGN:RoleModel._id</t>
    <phoneticPr fontId="22" type="noConversion"/>
  </si>
  <si>
    <t>FOREIGN:ItemConfig._id</t>
  </si>
  <si>
    <t>FOREIGN:Skill.Id</t>
  </si>
  <si>
    <t>FOREIGN:Skill._id</t>
    <phoneticPr fontId="22" type="noConversion"/>
  </si>
  <si>
    <t>FOREIGN:HeroAttr._id</t>
    <phoneticPr fontId="22" type="noConversion"/>
  </si>
  <si>
    <t>FOREIGN:AttrConfig_id</t>
    <phoneticPr fontId="22" type="noConversion"/>
  </si>
  <si>
    <t>FOREIGN:HeroGrow_id</t>
    <phoneticPr fontId="22" type="noConversion"/>
  </si>
  <si>
    <t>FOREIGN:HeroExp.Id</t>
    <phoneticPr fontId="22" type="noConversion"/>
  </si>
  <si>
    <t>FOREIGN:HeroQuality._id</t>
    <phoneticPr fontId="22" type="noConversion"/>
  </si>
  <si>
    <t>FOREIGN:HeroStarEffect._id</t>
    <phoneticPr fontId="22" type="noConversion"/>
  </si>
  <si>
    <t>FOREIGN:Translate.Id</t>
  </si>
  <si>
    <t>FOREIGN:Sound._id</t>
    <phoneticPr fontId="22" type="noConversion"/>
  </si>
  <si>
    <t>[ATK,DEF,MAXHP]</t>
  </si>
  <si>
    <t>[50,10,500]</t>
  </si>
  <si>
    <t>[1,1.2,2]</t>
  </si>
  <si>
    <t>[0.5,1.3,3]</t>
  </si>
  <si>
    <t>R_10_Defense</t>
  </si>
  <si>
    <t>R_1</t>
    <phoneticPr fontId="22" type="noConversion"/>
  </si>
  <si>
    <t>[100,10,200]</t>
  </si>
  <si>
    <t>[1.5,1,1]</t>
  </si>
  <si>
    <t>[1.5,4,2]</t>
  </si>
  <si>
    <t>SR_10_Attack</t>
  </si>
  <si>
    <t>SR_1</t>
    <phoneticPr fontId="22" type="noConversion"/>
  </si>
  <si>
    <t>SSR_10_Attack</t>
  </si>
  <si>
    <t>SSR_1</t>
    <phoneticPr fontId="22" type="noConversion"/>
  </si>
  <si>
    <t>SP_10_Curse</t>
  </si>
  <si>
    <t>SP_1</t>
    <phoneticPr fontId="22" type="noConversion"/>
  </si>
  <si>
    <t>R</t>
    <phoneticPr fontId="22" type="noConversion"/>
  </si>
  <si>
    <t>SR</t>
    <phoneticPr fontId="22" type="noConversion"/>
  </si>
  <si>
    <t>SSR</t>
    <phoneticPr fontId="22" type="noConversion"/>
  </si>
  <si>
    <t>SP</t>
    <phoneticPr fontId="22" type="noConversion"/>
  </si>
  <si>
    <t>RoleModel</t>
    <phoneticPr fontId="22" type="noConversion"/>
  </si>
  <si>
    <t>模型资源</t>
  </si>
  <si>
    <t>立绘资源</t>
  </si>
  <si>
    <t>头像</t>
  </si>
  <si>
    <t>Model</t>
  </si>
  <si>
    <t>Filename</t>
  </si>
  <si>
    <t>HeadIcon</t>
  </si>
  <si>
    <t>角色模型</t>
  </si>
  <si>
    <t>$备注</t>
  </si>
  <si>
    <t>HXi_Attr</t>
  </si>
  <si>
    <t>HXi</t>
  </si>
  <si>
    <t>HXi_Name</t>
  </si>
  <si>
    <t>Model_HXi</t>
  </si>
  <si>
    <t>IHF_HXi</t>
  </si>
  <si>
    <t>Skill_Passive_HXi</t>
  </si>
  <si>
    <t>Skill_Normal_HXi</t>
  </si>
  <si>
    <t>Skill_Special_HXi</t>
  </si>
  <si>
    <t>Skill_Unique_HXi</t>
  </si>
  <si>
    <t>HXi_CVName</t>
  </si>
  <si>
    <t>[Bubble_HXi_1]</t>
  </si>
  <si>
    <t>Intro_HXi</t>
  </si>
  <si>
    <t>JMi_Attr</t>
  </si>
  <si>
    <t>JMi</t>
  </si>
  <si>
    <t>JMi_Name</t>
  </si>
  <si>
    <t>Model_JMi</t>
  </si>
  <si>
    <t>IHF_JMi</t>
  </si>
  <si>
    <t>Skill_Passive_JMi</t>
  </si>
  <si>
    <t>Skill_Normal_JMi</t>
  </si>
  <si>
    <t>Skill_Special_JMi</t>
  </si>
  <si>
    <t>Skill_Unique_JMi</t>
  </si>
  <si>
    <t>JMi_CVName</t>
  </si>
  <si>
    <t>[Bubble_JMi_1]</t>
  </si>
  <si>
    <t>SCheng_Attr</t>
  </si>
  <si>
    <t>SCheng</t>
  </si>
  <si>
    <t>SCheng_Name</t>
  </si>
  <si>
    <t>Model_SCheng</t>
  </si>
  <si>
    <t>IHF_SCheng</t>
  </si>
  <si>
    <t>Skill_Passive_SCheng</t>
  </si>
  <si>
    <t>Skill_Normal_SCheng</t>
  </si>
  <si>
    <t>[Bubble_SCheng_1]</t>
  </si>
  <si>
    <t>XGe_Attr</t>
  </si>
  <si>
    <t>XGe</t>
  </si>
  <si>
    <t>XGe_Name</t>
  </si>
  <si>
    <t>Model_XGe</t>
  </si>
  <si>
    <t>IHF_XGe</t>
  </si>
  <si>
    <t>Skill_Passive_XGe</t>
  </si>
  <si>
    <t>Skill_Normal_XGe</t>
  </si>
  <si>
    <t>XGe_CVName</t>
  </si>
  <si>
    <t>[Bubble_XGe_1]</t>
  </si>
  <si>
    <t>赫茜</t>
  </si>
  <si>
    <t>嘉米</t>
  </si>
  <si>
    <t>神澄</t>
  </si>
  <si>
    <t>西格</t>
  </si>
  <si>
    <t>portrait_XGe</t>
    <phoneticPr fontId="7" type="noConversion"/>
  </si>
  <si>
    <t>portrait_HXi</t>
    <phoneticPr fontId="7" type="noConversion"/>
  </si>
  <si>
    <t>portrait_JMi</t>
    <phoneticPr fontId="7" type="noConversion"/>
  </si>
  <si>
    <t>portrait_SCheng</t>
    <phoneticPr fontId="7" type="noConversion"/>
  </si>
  <si>
    <t>head_HXi</t>
    <phoneticPr fontId="7" type="noConversion"/>
  </si>
  <si>
    <t>head_JMi</t>
    <phoneticPr fontId="7" type="noConversion"/>
  </si>
  <si>
    <t>head_SCheng</t>
    <phoneticPr fontId="7" type="noConversion"/>
  </si>
  <si>
    <t>head_XGe</t>
    <phoneticPr fontId="7" type="noConversion"/>
  </si>
  <si>
    <t>#ColDel</t>
  </si>
  <si>
    <t>[Surface_HXi]</t>
    <phoneticPr fontId="7" type="noConversion"/>
  </si>
  <si>
    <t>Intro_JMi</t>
    <phoneticPr fontId="7" type="noConversion"/>
  </si>
  <si>
    <t>[Surface_JMi]</t>
    <phoneticPr fontId="7" type="noConversion"/>
  </si>
  <si>
    <t>Intro_SCheng</t>
    <phoneticPr fontId="7" type="noConversion"/>
  </si>
  <si>
    <t>[Surface_SCheng]</t>
    <phoneticPr fontId="7" type="noConversion"/>
  </si>
  <si>
    <t>Intro_XGe</t>
    <phoneticPr fontId="7" type="noConversion"/>
  </si>
  <si>
    <t>[Surface_XGe]</t>
    <phoneticPr fontId="7" type="noConversion"/>
  </si>
  <si>
    <t>Surface</t>
  </si>
  <si>
    <t>所属英魂</t>
  </si>
  <si>
    <t>模型</t>
  </si>
  <si>
    <t>Hero</t>
  </si>
  <si>
    <t>$Hero</t>
  </si>
  <si>
    <t>FOREIGN:Herobase.Id</t>
  </si>
  <si>
    <t>FOREIGN:RoleModel.Id</t>
  </si>
  <si>
    <t>原皮</t>
    <phoneticPr fontId="7" type="noConversion"/>
  </si>
  <si>
    <t>Surface_SCheng</t>
    <phoneticPr fontId="7" type="noConversion"/>
  </si>
  <si>
    <t>Surface_XGe</t>
    <phoneticPr fontId="7" type="noConversion"/>
  </si>
  <si>
    <t>Surface_HXi</t>
    <phoneticPr fontId="7" type="noConversion"/>
  </si>
  <si>
    <t>Surface_JMi</t>
    <phoneticPr fontId="7" type="noConversion"/>
  </si>
  <si>
    <t>E:\vampire\src\Configs\TestRoleModel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</si>
</sst>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rgb="FF9C0006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rgb="FF9C0006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name val="宋体"/>
      <family val="3"/>
      <charset val="134"/>
    </font>
    <font>
      <b/>
      <sz val="11"/>
      <color rgb="FFFF0000"/>
      <name val="宋体"/>
      <family val="3"/>
      <charset val="134"/>
    </font>
    <font>
      <sz val="12"/>
      <color rgb="FF333333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D96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9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4" borderId="2" applyNumberFormat="0" applyAlignment="0" applyProtection="0">
      <alignment vertical="center"/>
    </xf>
    <xf numFmtId="0" fontId="15" fillId="0" borderId="0">
      <alignment vertical="center"/>
    </xf>
    <xf numFmtId="0" fontId="16" fillId="0" borderId="0"/>
    <xf numFmtId="0" fontId="17" fillId="5" borderId="0">
      <alignment vertical="center"/>
    </xf>
    <xf numFmtId="0" fontId="5" fillId="0" borderId="0"/>
    <xf numFmtId="0" fontId="4" fillId="0" borderId="0"/>
    <xf numFmtId="0" fontId="18" fillId="0" borderId="0"/>
    <xf numFmtId="0" fontId="3" fillId="0" borderId="0"/>
    <xf numFmtId="0" fontId="2" fillId="0" borderId="0"/>
    <xf numFmtId="0" fontId="2" fillId="0" borderId="0"/>
    <xf numFmtId="0" fontId="19" fillId="6" borderId="0" applyNumberFormat="0" applyBorder="0" applyAlignment="0" applyProtection="0">
      <alignment vertical="center"/>
    </xf>
    <xf numFmtId="0" fontId="10" fillId="0" borderId="0">
      <alignment vertical="center"/>
    </xf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20" fillId="0" borderId="0">
      <alignment vertical="center"/>
    </xf>
  </cellStyleXfs>
  <cellXfs count="24">
    <xf numFmtId="0" fontId="0" fillId="0" borderId="0" xfId="0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1" fillId="7" borderId="1" xfId="20" applyFont="1" applyFill="1" applyBorder="1" applyAlignment="1">
      <alignment horizontal="center" vertical="center"/>
    </xf>
    <xf numFmtId="49" fontId="23" fillId="8" borderId="3" xfId="0" applyNumberFormat="1" applyFont="1" applyFill="1" applyBorder="1" applyAlignment="1">
      <alignment horizontal="left" vertical="center"/>
    </xf>
    <xf numFmtId="49" fontId="23" fillId="8" borderId="0" xfId="0" applyNumberFormat="1" applyFont="1" applyFill="1" applyAlignment="1">
      <alignment horizontal="left" vertical="center"/>
    </xf>
    <xf numFmtId="49" fontId="23" fillId="9" borderId="0" xfId="0" applyNumberFormat="1" applyFont="1" applyFill="1" applyAlignment="1">
      <alignment horizontal="left" vertical="center"/>
    </xf>
    <xf numFmtId="49" fontId="23" fillId="10" borderId="0" xfId="0" applyNumberFormat="1" applyFont="1" applyFill="1" applyAlignment="1">
      <alignment horizontal="left" vertical="center"/>
    </xf>
    <xf numFmtId="0" fontId="15" fillId="0" borderId="0" xfId="0" applyFont="1">
      <alignment vertical="center"/>
    </xf>
    <xf numFmtId="0" fontId="0" fillId="0" borderId="0" xfId="0" applyAlignment="1"/>
    <xf numFmtId="0" fontId="15" fillId="0" borderId="0" xfId="0" applyFont="1" applyAlignment="1"/>
    <xf numFmtId="49" fontId="23" fillId="11" borderId="3" xfId="0" applyNumberFormat="1" applyFont="1" applyFill="1" applyBorder="1" applyAlignment="1">
      <alignment horizontal="left" vertical="center"/>
    </xf>
    <xf numFmtId="49" fontId="23" fillId="11" borderId="0" xfId="0" applyNumberFormat="1" applyFont="1" applyFill="1" applyAlignment="1">
      <alignment horizontal="left" vertical="center"/>
    </xf>
    <xf numFmtId="0" fontId="28" fillId="0" borderId="0" xfId="0" applyFont="1">
      <alignment vertical="center"/>
    </xf>
    <xf numFmtId="0" fontId="13" fillId="0" borderId="0" xfId="0" applyFont="1" applyAlignment="1"/>
    <xf numFmtId="0" fontId="29" fillId="0" borderId="0" xfId="0" applyFont="1">
      <alignment vertical="center"/>
    </xf>
    <xf numFmtId="0" fontId="0" fillId="0" borderId="0" xfId="0" applyFill="1" applyAlignment="1"/>
    <xf numFmtId="0" fontId="15" fillId="0" borderId="0" xfId="0" applyFont="1" applyFill="1" applyAlignment="1"/>
    <xf numFmtId="0" fontId="0" fillId="12" borderId="0" xfId="0" applyFill="1" applyAlignment="1"/>
    <xf numFmtId="49" fontId="15" fillId="0" borderId="0" xfId="0" applyNumberFormat="1" applyFont="1" applyFill="1" applyAlignment="1"/>
  </cellXfs>
  <cellStyles count="29">
    <cellStyle name="差" xfId="20" builtinId="27"/>
    <cellStyle name="常规" xfId="0" builtinId="0"/>
    <cellStyle name="常规 10" xfId="28" xr:uid="{00000000-0005-0000-0000-000002000000}"/>
    <cellStyle name="常规 2" xfId="1" xr:uid="{00000000-0005-0000-0000-000003000000}"/>
    <cellStyle name="常规 2 2" xfId="3" xr:uid="{00000000-0005-0000-0000-000004000000}"/>
    <cellStyle name="常规 2 2 2" xfId="6" xr:uid="{00000000-0005-0000-0000-000005000000}"/>
    <cellStyle name="常规 2 2 3" xfId="12" xr:uid="{00000000-0005-0000-0000-000006000000}"/>
    <cellStyle name="常规 2 2 3 4" xfId="15" xr:uid="{00000000-0005-0000-0000-000007000000}"/>
    <cellStyle name="常规 2 2 4" xfId="21" xr:uid="{00000000-0005-0000-0000-000008000000}"/>
    <cellStyle name="常规 2 3" xfId="11" xr:uid="{00000000-0005-0000-0000-000009000000}"/>
    <cellStyle name="常规 2 3 2" xfId="25" xr:uid="{00000000-0005-0000-0000-00000A000000}"/>
    <cellStyle name="常规 2 4" xfId="9" xr:uid="{00000000-0005-0000-0000-00000B000000}"/>
    <cellStyle name="常规 2 5" xfId="27" xr:uid="{00000000-0005-0000-0000-00000C000000}"/>
    <cellStyle name="常规 3" xfId="2" xr:uid="{00000000-0005-0000-0000-00000D000000}"/>
    <cellStyle name="常规 3 2" xfId="4" xr:uid="{00000000-0005-0000-0000-00000E000000}"/>
    <cellStyle name="常规 3 2 2 2" xfId="23" xr:uid="{00000000-0005-0000-0000-00000F000000}"/>
    <cellStyle name="常规 3 3" xfId="14" xr:uid="{00000000-0005-0000-0000-000010000000}"/>
    <cellStyle name="常规 3 4" xfId="19" xr:uid="{00000000-0005-0000-0000-000011000000}"/>
    <cellStyle name="常规 3 5 2" xfId="24" xr:uid="{00000000-0005-0000-0000-000012000000}"/>
    <cellStyle name="常规 4" xfId="5" xr:uid="{00000000-0005-0000-0000-000013000000}"/>
    <cellStyle name="常规 5" xfId="7" xr:uid="{00000000-0005-0000-0000-000014000000}"/>
    <cellStyle name="常规 6" xfId="16" xr:uid="{00000000-0005-0000-0000-000015000000}"/>
    <cellStyle name="常规 7" xfId="8" xr:uid="{00000000-0005-0000-0000-000016000000}"/>
    <cellStyle name="常规 8" xfId="17" xr:uid="{00000000-0005-0000-0000-000017000000}"/>
    <cellStyle name="常规 8 2 2" xfId="22" xr:uid="{00000000-0005-0000-0000-000018000000}"/>
    <cellStyle name="常规 9" xfId="18" xr:uid="{00000000-0005-0000-0000-000019000000}"/>
    <cellStyle name="好 2" xfId="13" xr:uid="{00000000-0005-0000-0000-00001B000000}"/>
    <cellStyle name="输入 2" xfId="10" xr:uid="{00000000-0005-0000-0000-00001C000000}"/>
    <cellStyle name="표준 2" xfId="26" xr:uid="{00000000-0005-0000-0000-00001D000000}"/>
  </cellStyles>
  <dxfs count="3"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7</xdr:row>
          <xdr:rowOff>161925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O71"/>
  <sheetViews>
    <sheetView tabSelected="1" zoomScaleNormal="100" workbookViewId="0">
      <selection activeCell="F30" sqref="F30"/>
    </sheetView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264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71</v>
      </c>
      <c r="J4" t="s">
        <v>16</v>
      </c>
    </row>
    <row r="5" spans="1:10" x14ac:dyDescent="0.15">
      <c r="J5" t="s">
        <v>7</v>
      </c>
    </row>
    <row r="6" spans="1:10" ht="14.25" x14ac:dyDescent="0.15">
      <c r="B6" s="1" t="s">
        <v>47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61</v>
      </c>
      <c r="C21" t="s">
        <v>63</v>
      </c>
    </row>
    <row r="22" spans="2:15" x14ac:dyDescent="0.15">
      <c r="B22" s="4" t="s">
        <v>62</v>
      </c>
      <c r="C22" t="s">
        <v>64</v>
      </c>
      <c r="M22" s="2" t="s">
        <v>59</v>
      </c>
      <c r="O22" t="s">
        <v>48</v>
      </c>
    </row>
    <row r="24" spans="2:15" x14ac:dyDescent="0.15">
      <c r="B24" s="5" t="s">
        <v>49</v>
      </c>
      <c r="C24" t="s">
        <v>51</v>
      </c>
    </row>
    <row r="25" spans="2:15" x14ac:dyDescent="0.15">
      <c r="B25" s="4" t="s">
        <v>50</v>
      </c>
      <c r="C25" t="s">
        <v>52</v>
      </c>
    </row>
    <row r="26" spans="2:15" x14ac:dyDescent="0.15">
      <c r="C26" t="s">
        <v>70</v>
      </c>
    </row>
    <row r="27" spans="2:15" x14ac:dyDescent="0.15">
      <c r="C27" t="s">
        <v>66</v>
      </c>
    </row>
    <row r="28" spans="2:15" x14ac:dyDescent="0.15">
      <c r="C28" t="s">
        <v>60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53</v>
      </c>
    </row>
    <row r="35" spans="2:3" x14ac:dyDescent="0.15">
      <c r="C35" t="s">
        <v>54</v>
      </c>
    </row>
    <row r="36" spans="2:3" x14ac:dyDescent="0.15">
      <c r="C36" t="s">
        <v>55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57</v>
      </c>
    </row>
    <row r="44" spans="2:3" x14ac:dyDescent="0.15">
      <c r="B44" s="5" t="s">
        <v>56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65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58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46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69</v>
      </c>
    </row>
    <row r="71" spans="2:4" x14ac:dyDescent="0.15">
      <c r="C71" t="s">
        <v>67</v>
      </c>
    </row>
  </sheetData>
  <phoneticPr fontId="7" type="noConversion"/>
  <dataValidations count="1">
    <dataValidation type="list" allowBlank="1" showInputMessage="1" showErrorMessage="1" sqref="C4" xr:uid="{00000000-0002-0000-08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7</xdr:row>
                <xdr:rowOff>161925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2BB44-5256-48FD-8A82-B991EEFD2345}">
  <sheetPr>
    <tabColor theme="7"/>
  </sheetPr>
  <dimension ref="A1:AI10"/>
  <sheetViews>
    <sheetView topLeftCell="O1" workbookViewId="0"/>
  </sheetViews>
  <sheetFormatPr defaultRowHeight="13.5" x14ac:dyDescent="0.15"/>
  <cols>
    <col min="30" max="30" width="15" bestFit="1" customWidth="1"/>
  </cols>
  <sheetData>
    <row r="1" spans="1:35" s="12" customFormat="1" x14ac:dyDescent="0.15">
      <c r="A1" s="12" t="s">
        <v>94</v>
      </c>
      <c r="B1" s="13" t="s">
        <v>179</v>
      </c>
      <c r="F1" s="12" t="s">
        <v>244</v>
      </c>
      <c r="M1" s="17"/>
      <c r="X1" s="17"/>
    </row>
    <row r="2" spans="1:35" s="12" customFormat="1" x14ac:dyDescent="0.15">
      <c r="A2" s="12" t="s">
        <v>73</v>
      </c>
      <c r="B2" s="8" t="s">
        <v>95</v>
      </c>
      <c r="C2" s="8" t="s">
        <v>75</v>
      </c>
      <c r="D2" s="8" t="s">
        <v>76</v>
      </c>
      <c r="E2" s="8" t="s">
        <v>96</v>
      </c>
      <c r="F2" s="8" t="s">
        <v>97</v>
      </c>
      <c r="G2" s="15" t="s">
        <v>98</v>
      </c>
      <c r="H2" s="15" t="s">
        <v>99</v>
      </c>
      <c r="I2" s="15" t="s">
        <v>100</v>
      </c>
      <c r="J2" s="15" t="s">
        <v>101</v>
      </c>
      <c r="K2" s="8" t="s">
        <v>102</v>
      </c>
      <c r="L2" s="15" t="s">
        <v>103</v>
      </c>
      <c r="M2" s="8" t="s">
        <v>104</v>
      </c>
      <c r="N2" s="8" t="s">
        <v>105</v>
      </c>
      <c r="O2" s="8" t="s">
        <v>106</v>
      </c>
      <c r="P2" s="8" t="s">
        <v>107</v>
      </c>
      <c r="Q2" s="8" t="s">
        <v>108</v>
      </c>
      <c r="R2" s="8" t="s">
        <v>109</v>
      </c>
      <c r="S2" s="8" t="s">
        <v>110</v>
      </c>
      <c r="T2" s="8" t="s">
        <v>111</v>
      </c>
      <c r="U2" s="8" t="s">
        <v>112</v>
      </c>
      <c r="V2" s="8" t="s">
        <v>113</v>
      </c>
      <c r="W2" s="8" t="s">
        <v>114</v>
      </c>
      <c r="X2" s="15" t="s">
        <v>115</v>
      </c>
      <c r="Y2" s="15" t="s">
        <v>116</v>
      </c>
      <c r="Z2" s="15" t="s">
        <v>117</v>
      </c>
      <c r="AA2" s="15" t="s">
        <v>118</v>
      </c>
      <c r="AB2" s="16" t="s">
        <v>119</v>
      </c>
      <c r="AC2" s="8" t="s">
        <v>120</v>
      </c>
      <c r="AD2" s="15" t="s">
        <v>121</v>
      </c>
      <c r="AE2" s="8" t="s">
        <v>122</v>
      </c>
    </row>
    <row r="3" spans="1:35" s="12" customFormat="1" x14ac:dyDescent="0.15">
      <c r="B3" s="9" t="s">
        <v>77</v>
      </c>
      <c r="C3" s="9" t="s">
        <v>77</v>
      </c>
      <c r="D3" s="9" t="s">
        <v>78</v>
      </c>
      <c r="E3" s="9" t="s">
        <v>77</v>
      </c>
      <c r="F3" s="9" t="s">
        <v>88</v>
      </c>
      <c r="G3" s="16" t="s">
        <v>77</v>
      </c>
      <c r="H3" s="16" t="s">
        <v>77</v>
      </c>
      <c r="I3" s="16" t="s">
        <v>77</v>
      </c>
      <c r="J3" s="16" t="s">
        <v>77</v>
      </c>
      <c r="K3" s="9" t="s">
        <v>77</v>
      </c>
      <c r="L3" s="16" t="s">
        <v>77</v>
      </c>
      <c r="M3" s="9" t="s">
        <v>77</v>
      </c>
      <c r="N3" s="9" t="s">
        <v>77</v>
      </c>
      <c r="O3" s="9" t="s">
        <v>77</v>
      </c>
      <c r="P3" s="9" t="s">
        <v>77</v>
      </c>
      <c r="Q3" s="9" t="s">
        <v>77</v>
      </c>
      <c r="R3" s="9" t="s">
        <v>77</v>
      </c>
      <c r="S3" s="9" t="s">
        <v>77</v>
      </c>
      <c r="T3" s="9" t="s">
        <v>77</v>
      </c>
      <c r="U3" s="9" t="s">
        <v>77</v>
      </c>
      <c r="V3" s="9" t="s">
        <v>77</v>
      </c>
      <c r="W3" s="9" t="s">
        <v>77</v>
      </c>
      <c r="X3" s="16" t="s">
        <v>77</v>
      </c>
      <c r="Y3" s="16" t="s">
        <v>77</v>
      </c>
      <c r="Z3" s="16" t="s">
        <v>90</v>
      </c>
      <c r="AA3" s="16" t="s">
        <v>88</v>
      </c>
      <c r="AB3" s="16" t="s">
        <v>123</v>
      </c>
      <c r="AC3" s="9" t="s">
        <v>88</v>
      </c>
      <c r="AD3" s="16" t="s">
        <v>77</v>
      </c>
      <c r="AE3" s="9" t="s">
        <v>88</v>
      </c>
    </row>
    <row r="4" spans="1:35" s="12" customFormat="1" x14ac:dyDescent="0.15">
      <c r="B4" s="10" t="s">
        <v>79</v>
      </c>
      <c r="C4" s="10" t="s">
        <v>79</v>
      </c>
      <c r="D4" s="10" t="s">
        <v>78</v>
      </c>
      <c r="E4" s="11" t="s">
        <v>80</v>
      </c>
      <c r="F4" s="10" t="s">
        <v>79</v>
      </c>
      <c r="G4" s="11" t="s">
        <v>80</v>
      </c>
      <c r="H4" s="11" t="s">
        <v>79</v>
      </c>
      <c r="I4" s="11" t="s">
        <v>80</v>
      </c>
      <c r="J4" s="11" t="s">
        <v>79</v>
      </c>
      <c r="K4" s="10" t="s">
        <v>79</v>
      </c>
      <c r="L4" s="11" t="s">
        <v>79</v>
      </c>
      <c r="M4" s="10" t="s">
        <v>79</v>
      </c>
      <c r="N4" s="10" t="s">
        <v>79</v>
      </c>
      <c r="O4" s="10" t="s">
        <v>79</v>
      </c>
      <c r="P4" s="10" t="s">
        <v>79</v>
      </c>
      <c r="Q4" s="10" t="s">
        <v>91</v>
      </c>
      <c r="R4" s="10" t="s">
        <v>92</v>
      </c>
      <c r="S4" s="10" t="s">
        <v>79</v>
      </c>
      <c r="T4" s="10" t="s">
        <v>91</v>
      </c>
      <c r="U4" s="10" t="s">
        <v>93</v>
      </c>
      <c r="V4" s="10" t="s">
        <v>91</v>
      </c>
      <c r="W4" s="10" t="s">
        <v>93</v>
      </c>
      <c r="X4" s="11" t="s">
        <v>80</v>
      </c>
      <c r="Y4" s="11" t="s">
        <v>79</v>
      </c>
      <c r="Z4" s="11" t="s">
        <v>124</v>
      </c>
      <c r="AA4" s="11" t="s">
        <v>79</v>
      </c>
      <c r="AB4" s="11" t="s">
        <v>91</v>
      </c>
      <c r="AC4" s="11" t="s">
        <v>89</v>
      </c>
      <c r="AD4" s="10" t="s">
        <v>89</v>
      </c>
      <c r="AE4" s="10" t="s">
        <v>79</v>
      </c>
    </row>
    <row r="5" spans="1:35" s="12" customFormat="1" x14ac:dyDescent="0.15">
      <c r="B5" s="9" t="s">
        <v>125</v>
      </c>
      <c r="C5" s="9" t="s">
        <v>82</v>
      </c>
      <c r="D5" s="9" t="s">
        <v>78</v>
      </c>
      <c r="E5" s="9" t="s">
        <v>83</v>
      </c>
      <c r="F5" s="9" t="s">
        <v>126</v>
      </c>
      <c r="G5" s="16" t="s">
        <v>127</v>
      </c>
      <c r="H5" s="16" t="s">
        <v>128</v>
      </c>
      <c r="I5" s="16" t="s">
        <v>129</v>
      </c>
      <c r="J5" s="16" t="s">
        <v>130</v>
      </c>
      <c r="K5" s="9" t="s">
        <v>131</v>
      </c>
      <c r="L5" s="16" t="s">
        <v>132</v>
      </c>
      <c r="M5" s="9" t="s">
        <v>133</v>
      </c>
      <c r="N5" s="9" t="s">
        <v>134</v>
      </c>
      <c r="O5" s="9" t="s">
        <v>135</v>
      </c>
      <c r="P5" s="9" t="s">
        <v>136</v>
      </c>
      <c r="Q5" s="9" t="s">
        <v>137</v>
      </c>
      <c r="R5" s="9" t="s">
        <v>138</v>
      </c>
      <c r="S5" s="9" t="s">
        <v>139</v>
      </c>
      <c r="T5" s="9" t="s">
        <v>140</v>
      </c>
      <c r="U5" s="9" t="s">
        <v>141</v>
      </c>
      <c r="V5" s="9" t="s">
        <v>142</v>
      </c>
      <c r="W5" s="9" t="s">
        <v>143</v>
      </c>
      <c r="X5" s="16" t="s">
        <v>144</v>
      </c>
      <c r="Y5" s="16" t="s">
        <v>145</v>
      </c>
      <c r="Z5" s="16" t="s">
        <v>146</v>
      </c>
      <c r="AA5" s="16" t="s">
        <v>147</v>
      </c>
      <c r="AB5" s="16" t="s">
        <v>148</v>
      </c>
      <c r="AC5" s="9" t="s">
        <v>149</v>
      </c>
      <c r="AD5" s="16" t="s">
        <v>150</v>
      </c>
      <c r="AE5" s="9" t="s">
        <v>151</v>
      </c>
    </row>
    <row r="6" spans="1:35" s="12" customFormat="1" x14ac:dyDescent="0.15">
      <c r="B6" s="10" t="s">
        <v>84</v>
      </c>
      <c r="C6" s="10" t="s">
        <v>85</v>
      </c>
      <c r="D6" s="10"/>
      <c r="E6" s="10"/>
      <c r="F6" s="10" t="s">
        <v>152</v>
      </c>
      <c r="G6" s="11"/>
      <c r="H6" s="11"/>
      <c r="I6" s="11"/>
      <c r="J6" s="11"/>
      <c r="K6" s="10" t="s">
        <v>153</v>
      </c>
      <c r="L6" s="11" t="s">
        <v>154</v>
      </c>
      <c r="M6" s="10" t="s">
        <v>155</v>
      </c>
      <c r="N6" s="10" t="s">
        <v>155</v>
      </c>
      <c r="O6" s="10" t="s">
        <v>155</v>
      </c>
      <c r="P6" s="10" t="s">
        <v>156</v>
      </c>
      <c r="Q6" s="10" t="s">
        <v>157</v>
      </c>
      <c r="R6" s="10"/>
      <c r="S6" s="10" t="s">
        <v>158</v>
      </c>
      <c r="T6" s="10" t="s">
        <v>157</v>
      </c>
      <c r="U6" s="10"/>
      <c r="V6" s="10" t="s">
        <v>157</v>
      </c>
      <c r="W6" s="10"/>
      <c r="X6" s="11" t="s">
        <v>159</v>
      </c>
      <c r="Y6" s="10" t="s">
        <v>160</v>
      </c>
      <c r="Z6" s="10" t="s">
        <v>161</v>
      </c>
      <c r="AA6" s="11" t="s">
        <v>162</v>
      </c>
      <c r="AB6" s="11" t="s">
        <v>162</v>
      </c>
      <c r="AC6" s="10" t="s">
        <v>163</v>
      </c>
      <c r="AD6" s="11"/>
      <c r="AE6" s="11" t="s">
        <v>162</v>
      </c>
    </row>
    <row r="7" spans="1:35" s="20" customFormat="1" x14ac:dyDescent="0.15">
      <c r="B7" s="20" t="s">
        <v>193</v>
      </c>
      <c r="C7" s="20" t="s">
        <v>194</v>
      </c>
      <c r="D7" s="20" t="s">
        <v>232</v>
      </c>
      <c r="E7" s="20">
        <v>1</v>
      </c>
      <c r="F7" s="20" t="s">
        <v>195</v>
      </c>
      <c r="G7" s="20">
        <v>11</v>
      </c>
      <c r="H7" s="20">
        <v>1</v>
      </c>
      <c r="I7" s="20">
        <v>13</v>
      </c>
      <c r="J7" s="20">
        <v>3</v>
      </c>
      <c r="K7" s="20" t="s">
        <v>196</v>
      </c>
      <c r="L7" s="20" t="s">
        <v>197</v>
      </c>
      <c r="M7" s="20" t="s">
        <v>198</v>
      </c>
      <c r="N7" s="20" t="s">
        <v>199</v>
      </c>
      <c r="O7" s="20" t="s">
        <v>200</v>
      </c>
      <c r="P7" s="20" t="s">
        <v>192</v>
      </c>
      <c r="Q7" s="20" t="s">
        <v>164</v>
      </c>
      <c r="R7" s="20" t="s">
        <v>165</v>
      </c>
      <c r="S7" s="20">
        <v>1001</v>
      </c>
      <c r="T7" s="20" t="s">
        <v>164</v>
      </c>
      <c r="U7" s="20" t="s">
        <v>166</v>
      </c>
      <c r="V7" s="20" t="s">
        <v>164</v>
      </c>
      <c r="W7" s="20" t="s">
        <v>167</v>
      </c>
      <c r="X7" s="20">
        <v>1</v>
      </c>
      <c r="Y7" s="20" t="s">
        <v>168</v>
      </c>
      <c r="Z7" s="20" t="s">
        <v>169</v>
      </c>
      <c r="AA7" s="20" t="s">
        <v>201</v>
      </c>
      <c r="AB7" s="20" t="s">
        <v>202</v>
      </c>
      <c r="AD7" s="22" t="s">
        <v>245</v>
      </c>
      <c r="AE7" s="20" t="s">
        <v>203</v>
      </c>
    </row>
    <row r="8" spans="1:35" s="20" customFormat="1" x14ac:dyDescent="0.15">
      <c r="A8" s="20" t="s">
        <v>180</v>
      </c>
      <c r="B8" s="20" t="s">
        <v>205</v>
      </c>
      <c r="C8" s="20" t="s">
        <v>206</v>
      </c>
      <c r="D8" s="20" t="s">
        <v>233</v>
      </c>
      <c r="E8" s="20">
        <v>1</v>
      </c>
      <c r="F8" s="20" t="s">
        <v>207</v>
      </c>
      <c r="G8" s="20">
        <v>12</v>
      </c>
      <c r="H8" s="20">
        <v>1</v>
      </c>
      <c r="I8" s="20">
        <v>11</v>
      </c>
      <c r="J8" s="20">
        <v>1</v>
      </c>
      <c r="K8" s="20" t="s">
        <v>208</v>
      </c>
      <c r="L8" s="20" t="s">
        <v>209</v>
      </c>
      <c r="M8" s="20" t="s">
        <v>210</v>
      </c>
      <c r="N8" s="20" t="s">
        <v>211</v>
      </c>
      <c r="O8" s="20" t="s">
        <v>212</v>
      </c>
      <c r="P8" s="20" t="s">
        <v>204</v>
      </c>
      <c r="Q8" s="20" t="s">
        <v>164</v>
      </c>
      <c r="R8" s="20" t="s">
        <v>170</v>
      </c>
      <c r="S8" s="20">
        <v>1002</v>
      </c>
      <c r="T8" s="20" t="s">
        <v>164</v>
      </c>
      <c r="U8" s="20" t="s">
        <v>171</v>
      </c>
      <c r="V8" s="20" t="s">
        <v>164</v>
      </c>
      <c r="W8" s="20" t="s">
        <v>172</v>
      </c>
      <c r="X8" s="20">
        <v>1</v>
      </c>
      <c r="Y8" s="20" t="s">
        <v>173</v>
      </c>
      <c r="Z8" s="20" t="s">
        <v>174</v>
      </c>
      <c r="AA8" s="20" t="s">
        <v>213</v>
      </c>
      <c r="AB8" s="20" t="s">
        <v>214</v>
      </c>
      <c r="AD8" s="22" t="s">
        <v>247</v>
      </c>
      <c r="AE8" s="20" t="s">
        <v>246</v>
      </c>
    </row>
    <row r="9" spans="1:35" s="20" customFormat="1" x14ac:dyDescent="0.15">
      <c r="A9" s="20" t="s">
        <v>181</v>
      </c>
      <c r="B9" s="20" t="s">
        <v>216</v>
      </c>
      <c r="C9" s="20" t="s">
        <v>217</v>
      </c>
      <c r="D9" s="20" t="s">
        <v>234</v>
      </c>
      <c r="E9" s="20">
        <v>1</v>
      </c>
      <c r="F9" s="20" t="s">
        <v>218</v>
      </c>
      <c r="G9" s="20">
        <v>13</v>
      </c>
      <c r="H9" s="20">
        <v>2</v>
      </c>
      <c r="I9" s="20">
        <v>14</v>
      </c>
      <c r="J9" s="20">
        <v>1</v>
      </c>
      <c r="K9" s="20" t="s">
        <v>219</v>
      </c>
      <c r="L9" s="20" t="s">
        <v>220</v>
      </c>
      <c r="M9" s="20" t="s">
        <v>221</v>
      </c>
      <c r="N9" s="20" t="s">
        <v>199</v>
      </c>
      <c r="O9" s="20" t="s">
        <v>212</v>
      </c>
      <c r="P9" s="20" t="s">
        <v>215</v>
      </c>
      <c r="Q9" s="20" t="s">
        <v>164</v>
      </c>
      <c r="R9" s="20" t="s">
        <v>165</v>
      </c>
      <c r="S9" s="20">
        <v>1001</v>
      </c>
      <c r="T9" s="20" t="s">
        <v>164</v>
      </c>
      <c r="U9" s="20" t="s">
        <v>166</v>
      </c>
      <c r="V9" s="20" t="s">
        <v>164</v>
      </c>
      <c r="W9" s="20" t="s">
        <v>167</v>
      </c>
      <c r="X9" s="20">
        <v>1</v>
      </c>
      <c r="Y9" s="20" t="s">
        <v>175</v>
      </c>
      <c r="Z9" s="20" t="s">
        <v>176</v>
      </c>
      <c r="AA9" s="20" t="str">
        <f>B9&amp;"_CVName"</f>
        <v>SCheng_CVName</v>
      </c>
      <c r="AB9" s="20" t="s">
        <v>222</v>
      </c>
      <c r="AD9" s="22" t="s">
        <v>249</v>
      </c>
      <c r="AE9" s="20" t="s">
        <v>248</v>
      </c>
    </row>
    <row r="10" spans="1:35" s="20" customFormat="1" x14ac:dyDescent="0.15">
      <c r="A10" s="20" t="s">
        <v>182</v>
      </c>
      <c r="B10" s="20" t="s">
        <v>224</v>
      </c>
      <c r="C10" s="20" t="s">
        <v>225</v>
      </c>
      <c r="D10" s="20" t="s">
        <v>235</v>
      </c>
      <c r="E10" s="20">
        <v>1</v>
      </c>
      <c r="F10" s="20" t="s">
        <v>226</v>
      </c>
      <c r="G10" s="20">
        <v>14</v>
      </c>
      <c r="H10" s="20">
        <v>1</v>
      </c>
      <c r="I10" s="20">
        <v>15</v>
      </c>
      <c r="J10" s="20">
        <v>7</v>
      </c>
      <c r="K10" s="20" t="s">
        <v>227</v>
      </c>
      <c r="L10" s="20" t="s">
        <v>228</v>
      </c>
      <c r="M10" s="20" t="s">
        <v>229</v>
      </c>
      <c r="N10" s="20" t="s">
        <v>199</v>
      </c>
      <c r="O10" s="20" t="s">
        <v>212</v>
      </c>
      <c r="P10" s="20" t="s">
        <v>223</v>
      </c>
      <c r="Q10" s="20" t="s">
        <v>164</v>
      </c>
      <c r="R10" s="20" t="s">
        <v>170</v>
      </c>
      <c r="S10" s="20">
        <v>1002</v>
      </c>
      <c r="T10" s="20" t="s">
        <v>164</v>
      </c>
      <c r="U10" s="20" t="s">
        <v>171</v>
      </c>
      <c r="V10" s="20" t="s">
        <v>164</v>
      </c>
      <c r="W10" s="20" t="s">
        <v>172</v>
      </c>
      <c r="X10" s="20">
        <v>1</v>
      </c>
      <c r="Y10" s="20" t="s">
        <v>177</v>
      </c>
      <c r="Z10" s="20" t="s">
        <v>178</v>
      </c>
      <c r="AA10" s="20" t="s">
        <v>230</v>
      </c>
      <c r="AB10" s="20" t="s">
        <v>231</v>
      </c>
      <c r="AD10" s="22" t="s">
        <v>251</v>
      </c>
      <c r="AE10" s="20" t="s">
        <v>250</v>
      </c>
    </row>
  </sheetData>
  <phoneticPr fontId="7" type="noConversion"/>
  <conditionalFormatting sqref="H6">
    <cfRule type="cellIs" dxfId="2" priority="3" stopIfTrue="1" operator="notEqual">
      <formula>INDIRECT("Dummy_for_Comparison2!"&amp;ADDRESS(ROW(),COLUMN()))</formula>
    </cfRule>
  </conditionalFormatting>
  <conditionalFormatting sqref="AA6">
    <cfRule type="cellIs" dxfId="1" priority="2" stopIfTrue="1" operator="notEqual">
      <formula>INDIRECT("Dummy_for_Comparison2!"&amp;ADDRESS(ROW(),COLUMN()))</formula>
    </cfRule>
  </conditionalFormatting>
  <conditionalFormatting sqref="AB6">
    <cfRule type="cellIs" dxfId="0" priority="1" stopIfTrue="1" operator="notEqual">
      <formula>INDIRECT("Dummy_for_Comparison2!"&amp;ADDRESS(ROW(),COLUMN()))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FC60B-61B4-4777-BE9F-24A6EBA10AD7}">
  <sheetPr>
    <tabColor theme="2"/>
  </sheetPr>
  <dimension ref="A1:E10"/>
  <sheetViews>
    <sheetView workbookViewId="0">
      <selection activeCell="I25" sqref="I25"/>
    </sheetView>
  </sheetViews>
  <sheetFormatPr defaultRowHeight="13.5" x14ac:dyDescent="0.15"/>
  <cols>
    <col min="1" max="1" width="9" style="13"/>
    <col min="2" max="2" width="20.5" style="13" bestFit="1" customWidth="1"/>
    <col min="3" max="3" width="21.625" style="13" bestFit="1" customWidth="1"/>
    <col min="4" max="4" width="9" style="13"/>
    <col min="5" max="5" width="22.75" style="13" bestFit="1" customWidth="1"/>
    <col min="6" max="16384" width="9" style="13"/>
  </cols>
  <sheetData>
    <row r="1" spans="1:5" s="14" customFormat="1" x14ac:dyDescent="0.15">
      <c r="A1" s="14" t="s">
        <v>252</v>
      </c>
    </row>
    <row r="2" spans="1:5" s="14" customFormat="1" x14ac:dyDescent="0.15">
      <c r="B2" s="15" t="s">
        <v>86</v>
      </c>
      <c r="C2" s="15" t="s">
        <v>253</v>
      </c>
      <c r="D2" s="15" t="s">
        <v>191</v>
      </c>
      <c r="E2" s="15" t="s">
        <v>254</v>
      </c>
    </row>
    <row r="3" spans="1:5" s="14" customFormat="1" x14ac:dyDescent="0.15">
      <c r="B3" s="16" t="s">
        <v>77</v>
      </c>
      <c r="C3" s="16" t="s">
        <v>77</v>
      </c>
      <c r="D3" s="16" t="s">
        <v>78</v>
      </c>
      <c r="E3" s="16" t="s">
        <v>77</v>
      </c>
    </row>
    <row r="4" spans="1:5" s="14" customFormat="1" x14ac:dyDescent="0.15">
      <c r="B4" s="11" t="s">
        <v>79</v>
      </c>
      <c r="C4" s="11" t="s">
        <v>79</v>
      </c>
      <c r="D4" s="11" t="s">
        <v>78</v>
      </c>
      <c r="E4" s="11" t="s">
        <v>79</v>
      </c>
    </row>
    <row r="5" spans="1:5" s="14" customFormat="1" x14ac:dyDescent="0.15">
      <c r="B5" s="16" t="s">
        <v>125</v>
      </c>
      <c r="C5" s="16" t="s">
        <v>255</v>
      </c>
      <c r="D5" s="16" t="s">
        <v>256</v>
      </c>
      <c r="E5" s="16" t="s">
        <v>187</v>
      </c>
    </row>
    <row r="6" spans="1:5" s="14" customFormat="1" x14ac:dyDescent="0.15">
      <c r="B6" s="11" t="s">
        <v>84</v>
      </c>
      <c r="C6" s="11" t="s">
        <v>257</v>
      </c>
      <c r="D6" s="11"/>
      <c r="E6" s="11" t="s">
        <v>258</v>
      </c>
    </row>
    <row r="7" spans="1:5" s="21" customFormat="1" x14ac:dyDescent="0.15">
      <c r="A7" s="21" t="s">
        <v>259</v>
      </c>
      <c r="B7" s="23" t="s">
        <v>262</v>
      </c>
      <c r="C7" s="21" t="s">
        <v>193</v>
      </c>
      <c r="D7" s="21" t="s">
        <v>232</v>
      </c>
      <c r="E7" s="21" t="s">
        <v>195</v>
      </c>
    </row>
    <row r="8" spans="1:5" s="21" customFormat="1" x14ac:dyDescent="0.15">
      <c r="B8" s="23" t="s">
        <v>263</v>
      </c>
      <c r="C8" s="21" t="s">
        <v>205</v>
      </c>
      <c r="D8" s="21" t="s">
        <v>233</v>
      </c>
      <c r="E8" s="21" t="s">
        <v>207</v>
      </c>
    </row>
    <row r="9" spans="1:5" s="21" customFormat="1" x14ac:dyDescent="0.15">
      <c r="B9" s="21" t="s">
        <v>260</v>
      </c>
      <c r="C9" s="21" t="s">
        <v>216</v>
      </c>
      <c r="D9" s="21" t="s">
        <v>234</v>
      </c>
      <c r="E9" s="21" t="s">
        <v>218</v>
      </c>
    </row>
    <row r="10" spans="1:5" s="21" customFormat="1" x14ac:dyDescent="0.15">
      <c r="B10" s="21" t="s">
        <v>261</v>
      </c>
      <c r="C10" s="21" t="s">
        <v>224</v>
      </c>
      <c r="D10" s="21" t="s">
        <v>235</v>
      </c>
      <c r="E10" s="21" t="s">
        <v>226</v>
      </c>
    </row>
  </sheetData>
  <phoneticPr fontId="7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17373-856F-4FC9-B0F7-18FD3416B9EE}">
  <sheetPr>
    <tabColor theme="2"/>
  </sheetPr>
  <dimension ref="A1:O10"/>
  <sheetViews>
    <sheetView workbookViewId="0">
      <selection activeCell="L14" sqref="L14"/>
    </sheetView>
  </sheetViews>
  <sheetFormatPr defaultRowHeight="13.5" x14ac:dyDescent="0.15"/>
  <cols>
    <col min="2" max="2" width="13.875" bestFit="1" customWidth="1"/>
    <col min="5" max="5" width="21.625" bestFit="1" customWidth="1"/>
  </cols>
  <sheetData>
    <row r="1" spans="1:15" ht="14.25" x14ac:dyDescent="0.15">
      <c r="A1" s="18" t="s">
        <v>183</v>
      </c>
      <c r="B1" s="19" t="s">
        <v>190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s="12" customFormat="1" x14ac:dyDescent="0.15">
      <c r="A2" s="18" t="s">
        <v>73</v>
      </c>
      <c r="B2" s="8" t="s">
        <v>74</v>
      </c>
      <c r="C2" s="15" t="s">
        <v>87</v>
      </c>
      <c r="D2" s="15" t="s">
        <v>184</v>
      </c>
      <c r="E2" s="15" t="s">
        <v>185</v>
      </c>
      <c r="F2" s="15" t="s">
        <v>186</v>
      </c>
      <c r="G2" s="13"/>
    </row>
    <row r="3" spans="1:15" s="12" customFormat="1" x14ac:dyDescent="0.15">
      <c r="B3" s="9" t="s">
        <v>77</v>
      </c>
      <c r="C3" s="16" t="s">
        <v>78</v>
      </c>
      <c r="D3" s="16" t="s">
        <v>88</v>
      </c>
      <c r="E3" s="16" t="s">
        <v>88</v>
      </c>
      <c r="F3" s="9" t="s">
        <v>88</v>
      </c>
      <c r="G3" s="13"/>
    </row>
    <row r="4" spans="1:15" s="12" customFormat="1" x14ac:dyDescent="0.15">
      <c r="A4" s="18"/>
      <c r="B4" s="10" t="s">
        <v>79</v>
      </c>
      <c r="C4" s="11" t="s">
        <v>78</v>
      </c>
      <c r="D4" s="11" t="s">
        <v>79</v>
      </c>
      <c r="E4" s="11" t="s">
        <v>79</v>
      </c>
      <c r="F4" s="10" t="s">
        <v>79</v>
      </c>
      <c r="G4" s="13"/>
    </row>
    <row r="5" spans="1:15" s="12" customFormat="1" x14ac:dyDescent="0.15">
      <c r="A5" s="18"/>
      <c r="B5" s="9" t="s">
        <v>81</v>
      </c>
      <c r="C5" s="16" t="s">
        <v>78</v>
      </c>
      <c r="D5" s="16" t="s">
        <v>187</v>
      </c>
      <c r="E5" s="16" t="s">
        <v>188</v>
      </c>
      <c r="F5" s="9" t="s">
        <v>189</v>
      </c>
      <c r="G5" s="13"/>
    </row>
    <row r="6" spans="1:15" s="12" customFormat="1" x14ac:dyDescent="0.15">
      <c r="A6" s="18"/>
      <c r="B6" s="10" t="s">
        <v>84</v>
      </c>
      <c r="C6" s="11"/>
      <c r="D6" s="11"/>
      <c r="E6" s="11"/>
      <c r="F6" s="10"/>
      <c r="G6" s="13"/>
    </row>
    <row r="7" spans="1:15" s="20" customFormat="1" x14ac:dyDescent="0.15">
      <c r="B7" s="20" t="s">
        <v>195</v>
      </c>
      <c r="C7" s="20" t="s">
        <v>232</v>
      </c>
      <c r="D7" s="20" t="s">
        <v>193</v>
      </c>
      <c r="E7" s="20" t="s">
        <v>237</v>
      </c>
      <c r="F7" s="20" t="s">
        <v>240</v>
      </c>
    </row>
    <row r="8" spans="1:15" s="20" customFormat="1" x14ac:dyDescent="0.15">
      <c r="B8" s="20" t="s">
        <v>207</v>
      </c>
      <c r="C8" s="20" t="s">
        <v>233</v>
      </c>
      <c r="D8" s="20" t="s">
        <v>205</v>
      </c>
      <c r="E8" s="20" t="s">
        <v>238</v>
      </c>
      <c r="F8" s="20" t="s">
        <v>241</v>
      </c>
    </row>
    <row r="9" spans="1:15" s="20" customFormat="1" x14ac:dyDescent="0.15">
      <c r="B9" s="20" t="s">
        <v>218</v>
      </c>
      <c r="C9" s="20" t="s">
        <v>234</v>
      </c>
      <c r="D9" s="20" t="s">
        <v>216</v>
      </c>
      <c r="E9" s="20" t="s">
        <v>239</v>
      </c>
      <c r="F9" s="20" t="s">
        <v>242</v>
      </c>
    </row>
    <row r="10" spans="1:15" s="20" customFormat="1" x14ac:dyDescent="0.15">
      <c r="B10" s="20" t="s">
        <v>226</v>
      </c>
      <c r="C10" s="20" t="s">
        <v>235</v>
      </c>
      <c r="D10" s="20" t="s">
        <v>224</v>
      </c>
      <c r="E10" s="20" t="s">
        <v>236</v>
      </c>
      <c r="F10" s="20" t="s">
        <v>243</v>
      </c>
    </row>
  </sheetData>
  <phoneticPr fontId="7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$备注</vt:lpstr>
      <vt:lpstr>HeroBase</vt:lpstr>
      <vt:lpstr>Surface</vt:lpstr>
      <vt:lpstr>RoleModel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2022-06-23T12:10:57Z</dcterms:modified>
</cp:coreProperties>
</file>
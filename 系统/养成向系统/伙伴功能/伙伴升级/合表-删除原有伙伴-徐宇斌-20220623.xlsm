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伙伴功能\伙伴升级\"/>
    </mc:Choice>
  </mc:AlternateContent>
  <xr:revisionPtr revIDLastSave="0" documentId="13_ncr:1_{1D325BB8-FD86-4AA3-B129-020C25C67859}" xr6:coauthVersionLast="47" xr6:coauthVersionMax="47" xr10:uidLastSave="{00000000-0000-0000-0000-000000000000}"/>
  <bookViews>
    <workbookView xWindow="-120" yWindow="-120" windowWidth="29040" windowHeight="15840" tabRatio="654" activeTab="6" xr2:uid="{00000000-000D-0000-FFFF-FFFF00000000}"/>
  </bookViews>
  <sheets>
    <sheet name="$备注" sheetId="1" r:id="rId1"/>
    <sheet name="HeroAttrConfig" sheetId="16" r:id="rId2"/>
    <sheet name="HeroAwaken" sheetId="18" r:id="rId3"/>
    <sheet name="HeroBase" sheetId="19" r:id="rId4"/>
    <sheet name="ItemConfig" sheetId="20" r:id="rId5"/>
    <sheet name="Translate" sheetId="14" r:id="rId6"/>
    <sheet name="RoleModel" sheetId="2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9" i="19" l="1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A1" authorId="0" shapeId="0" xr:uid="{0AC1022D-96AB-47BD-A349-23EF0755AA0D}">
      <text>
        <r>
          <rPr>
            <sz val="9"/>
            <rFont val="宋体"/>
            <family val="3"/>
            <charset val="134"/>
          </rPr>
          <t xml:space="preserve">1 Time(s);
Column Modified by 刀光, on 2021/12/18, 19:22:11;
</t>
        </r>
      </text>
    </comment>
    <comment ref="B2" authorId="0" shapeId="0" xr:uid="{DA11BC0B-88B4-472D-9D16-EB2922FD0F60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角色初始属性ID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
</t>
        </r>
        <r>
          <rPr>
            <sz val="9"/>
            <color indexed="81"/>
            <rFont val="宋体"/>
            <family val="3"/>
            <charset val="134"/>
          </rPr>
          <t>命名一般为“角色ID_Attr”</t>
        </r>
      </text>
    </comment>
    <comment ref="C2" authorId="0" shapeId="0" xr:uid="{2FAD8F50-11D9-4918-AF7F-A1710763585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角色配置的初始战力，目前未拥有角色按战力排序时直接读取这列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4F90B6F-45D2-47BD-BE9A-1E690378103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作用：
配置方式：
</t>
        </r>
      </text>
    </comment>
    <comment ref="N2" authorId="0" shapeId="0" xr:uid="{261BFFD7-EEB3-4D77-87BC-44214FF5526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英魂未觉醒的立绘
</t>
        </r>
      </text>
    </comment>
    <comment ref="O2" authorId="0" shapeId="0" xr:uid="{4EB80494-B795-4248-ADE7-7DC545767C4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掉落解锁头像</t>
        </r>
      </text>
    </comment>
    <comment ref="V5" authorId="0" shapeId="0" xr:uid="{006A89DE-C991-4A58-9A7E-94DEC4E61E1E}">
      <text>
        <r>
          <rPr>
            <sz val="9"/>
            <color indexed="81"/>
            <rFont val="宋体"/>
            <family val="3"/>
            <charset val="134"/>
          </rPr>
          <t>Added by 怪盗基德, on 2021/2/4, 20:13:21;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I1" authorId="0" shapeId="0" xr:uid="{C376B68C-F8CB-4811-9FF7-B876DEDAA6BD}">
      <text>
        <r>
          <rPr>
            <sz val="9"/>
            <rFont val="宋体"/>
            <family val="3"/>
            <charset val="134"/>
          </rPr>
          <t xml:space="preserve">1 Time(s);
Column Modified by 周家靖, on 2022/1/27, 16:53:06;
</t>
        </r>
      </text>
    </comment>
    <comment ref="B2" authorId="0" shapeId="0" xr:uid="{C64B13AF-9C0E-479D-B572-4EA4CF3733E2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角色ID
</t>
        </r>
        <r>
          <rPr>
            <b/>
            <sz val="9"/>
            <color indexed="81"/>
            <rFont val="宋体"/>
            <family val="3"/>
            <charset val="134"/>
          </rPr>
          <t>配置方式</t>
        </r>
        <r>
          <rPr>
            <sz val="9"/>
            <color indexed="81"/>
            <rFont val="宋体"/>
            <family val="3"/>
            <charset val="134"/>
          </rPr>
          <t>：
角色中文名，除最后一个字外，其他用首字母大写，最后一个字全拼、首字母大写。如：东文真希：DWZXi</t>
        </r>
      </text>
    </comment>
    <comment ref="C2" authorId="0" shapeId="0" xr:uid="{83416C11-07CF-4D4E-AE72-2B4E2BD57177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角色名称ID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>角色ID_Name</t>
        </r>
      </text>
    </comment>
    <comment ref="E2" authorId="0" shapeId="0" xr:uid="{9D4D5B77-2D7C-4288-B6CC-EECB8B7D3726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用于判断角色是否可在游戏中显示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0:不显示
1：显示</t>
        </r>
      </text>
    </comment>
    <comment ref="F2" authorId="0" shapeId="0" xr:uid="{EF20F0E5-2E80-4839-B6F3-0AD53AD225F5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调用角色头像、立绘、模型等资源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填写RoleModel表内id</t>
        </r>
      </text>
    </comment>
    <comment ref="G2" authorId="0" shapeId="0" xr:uid="{FA06D0B1-FFA3-48BE-9DF2-0426BBDC6EDC}">
      <text>
        <r>
          <rPr>
            <b/>
            <sz val="9"/>
            <rFont val="宋体"/>
            <family val="3"/>
            <charset val="134"/>
          </rPr>
          <t xml:space="preserve">徐宇斌：
作用：
</t>
        </r>
        <r>
          <rPr>
            <sz val="9"/>
            <color indexed="81"/>
            <rFont val="宋体"/>
            <family val="3"/>
            <charset val="134"/>
          </rPr>
          <t>角色稀有度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11：R
12：SR
13：SSR
14：SP
</t>
        </r>
      </text>
    </comment>
    <comment ref="H2" authorId="0" shapeId="0" xr:uid="{4573F0C1-DD2A-4862-9A41-BAEBC7EF3A68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角色阵营归属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</t>
        </r>
        <r>
          <rPr>
            <sz val="9"/>
            <color indexed="81"/>
            <rFont val="宋体"/>
            <family val="3"/>
            <charset val="134"/>
          </rPr>
          <t xml:space="preserve">
1:维纳斯陷阱
2：希德
3：不死鸟财团
4：东文会
5：魔女集会
6：噬梦之蛇
7：迷雾</t>
        </r>
      </text>
    </comment>
    <comment ref="I2" authorId="0" shapeId="0" xr:uid="{35261930-EE14-4E3E-A90F-A8AC69AC19B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角色登场所需花费的能量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填写能量数字</t>
        </r>
      </text>
    </comment>
    <comment ref="J2" authorId="0" shapeId="0" xr:uid="{59E18357-7381-4D0F-82E0-AA5BA1F5FE8F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角色职业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1：攻袭
2：法师
3：守护
4：治愈
5：召唤
6：光明
7：咒术</t>
        </r>
      </text>
    </comment>
    <comment ref="K2" authorId="0" shapeId="0" xr:uid="{D38B0E9E-216D-4901-BF5E-F16A5C4C4D6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该角色的碎片道具ID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填ItemConfig表ID，一般为IHF_角色ID</t>
        </r>
      </text>
    </comment>
    <comment ref="P2" authorId="0" shapeId="0" xr:uid="{A3EE0E3F-BB3C-40C7-8F19-58C3BA8BDFD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角色的属性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HeroAttr表的ID
</t>
        </r>
      </text>
    </comment>
    <comment ref="Q2" authorId="0" shapeId="0" xr:uid="{FF09D423-72DA-451A-89DE-49C26E1D0D7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直接显示在角色界面的属性，一般是攻防血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AtteConfig表内ID</t>
        </r>
      </text>
    </comment>
    <comment ref="R2" authorId="0" shapeId="0" xr:uid="{C6DC6A94-265A-4B66-8F0E-8FB6B629F1D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对应前一列属性的数值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对应具体数值</t>
        </r>
      </text>
    </comment>
    <comment ref="S2" authorId="0" shapeId="0" xr:uid="{8746F44B-5116-460F-8C8B-EAEDA4F1A41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不同品质角色每次升级属性的变化，详见备注页属性公式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配HeroGrow表ID</t>
        </r>
      </text>
    </comment>
    <comment ref="T2" authorId="0" shapeId="0" xr:uid="{2EC85E17-B08B-4EAF-8F14-C89D2398CE4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升品时增加属性的类型，详见备注页属性公式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
</t>
        </r>
      </text>
    </comment>
    <comment ref="U2" authorId="0" shapeId="0" xr:uid="{DCA8F9F0-77C0-4CEE-B971-80A02FA0655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升品时增加属性的比例，详见备注页属性公式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支持小数配置</t>
        </r>
      </text>
    </comment>
    <comment ref="V2" authorId="0" shapeId="0" xr:uid="{08114415-75F7-4171-8EB1-90572299A42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用于升星时属性计算，详见备注页属性公式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</t>
        </r>
      </text>
    </comment>
    <comment ref="W2" authorId="0" shapeId="0" xr:uid="{789849BD-3960-4E4C-B9AB-9CDA29918D4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用于升星属性计算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对应数值</t>
        </r>
      </text>
    </comment>
    <comment ref="X2" authorId="0" shapeId="0" xr:uid="{7D94E483-FA58-4694-A060-C22472296C8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用于调取升每一级所需经验、金币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调用HeroExp表ID</t>
        </r>
      </text>
    </comment>
    <comment ref="Y2" authorId="0" shapeId="0" xr:uid="{F0938DFB-DB33-463C-96CC-79D91B19B79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与角色升品消耗、升品属性变动相关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填写HeroQuality表对应稀有度的初始品质ID</t>
        </r>
      </text>
    </comment>
    <comment ref="Z2" authorId="0" shapeId="0" xr:uid="{D0B6E656-C5E3-45B6-AC04-FB98BABF2A66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与角色升星消耗、升星属性变动相关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填写HeroStarEffect表对应稀有度的初始星级ID</t>
        </r>
      </text>
    </comment>
    <comment ref="AA2" authorId="0" shapeId="0" xr:uid="{40EE5CC8-D41F-43FE-9E48-F439205B23C8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角色CV名字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B2" authorId="0" shapeId="0" xr:uid="{57E2B0FB-0AAA-46D1-A45E-9C2C0A2F791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角色气泡可能出现的所有文本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C2" authorId="0" shapeId="0" xr:uid="{E3CBDA3B-1948-4CB9-9898-46CB74A9841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暂时没做语音</t>
        </r>
      </text>
    </comment>
    <comment ref="AD2" authorId="0" shapeId="0" xr:uid="{76EA66BD-D8A0-4E89-9F12-9EC354F26C9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暂时没做皮肤</t>
        </r>
      </text>
    </comment>
    <comment ref="AE2" authorId="0" shapeId="0" xr:uid="{862CD172-00DB-48D2-95D2-9F6EFF53987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用于角色预览界面的背景故事简介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填tranlate表ID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576DD48-2FB4-4B55-82D8-D084C266C2A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常用命名规则见备注页</t>
        </r>
      </text>
    </comment>
    <comment ref="C2" authorId="0" shapeId="0" xr:uid="{BDC9F2B4-867E-42BC-AD56-B57F3F61C47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显示于游戏内的文本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命名“道具ID_Name”</t>
        </r>
      </text>
    </comment>
    <comment ref="E2" authorId="0" shapeId="0" xr:uid="{45DBFE53-7F1F-4D53-8F3D-FE3B89043F0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用于解释这件道具具体怎么使用，使用后效果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命名“道具ID_FunctionDesc”</t>
        </r>
      </text>
    </comment>
    <comment ref="G2" authorId="0" shapeId="0" xr:uid="{2104F68A-7A06-46DD-B9E8-EA9312AFFD6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为道具提供背景等故事包装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命名“道具ID_StoryDesc”</t>
        </r>
      </text>
    </comment>
    <comment ref="I2" authorId="0" shapeId="0" xr:uid="{D1DB79A1-0602-4A54-A010-237D44603E0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判断该道具是否在背包显示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0：不显示
1：显示</t>
        </r>
      </text>
    </comment>
    <comment ref="J2" authorId="0" shapeId="0" xr:uid="{2C4F643B-9972-4264-841E-7882A0D438DB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道具分到哪个页签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0：货币（不显示在背包）
1：消耗品
2：装备
3：圣铭
4：时魄
5：材料
6：碎片
7：其它</t>
        </r>
      </text>
    </comment>
    <comment ref="K2" authorId="0" shapeId="0" xr:uid="{09905D63-BEA2-48EA-B3EF-F7E51F171E8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在道具详情内展示，便于玩家快速理解该道具作用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具体类型见备注页</t>
        </r>
      </text>
    </comment>
    <comment ref="N2" authorId="0" shapeId="0" xr:uid="{D40FE95C-EFAC-4F30-B8BD-F2195E03DD3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道具图标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填写资源名</t>
        </r>
      </text>
    </comment>
    <comment ref="O2" authorId="0" shapeId="0" xr:uid="{788221AD-4659-4D69-BC91-4C301E8200E2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道具品质影响底框、排序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P2" authorId="0" shapeId="0" xr:uid="{7294ECD4-3477-41C6-B350-955391C94EFC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使用道具后能获得什么奖励</t>
        </r>
        <r>
          <rPr>
            <b/>
            <sz val="9"/>
            <color indexed="81"/>
            <rFont val="宋体"/>
            <family val="3"/>
            <charset val="134"/>
          </rPr>
          <t xml:space="preserve">
表现方式：</t>
        </r>
        <r>
          <rPr>
            <sz val="9"/>
            <color indexed="81"/>
            <rFont val="宋体"/>
            <family val="3"/>
            <charset val="134"/>
          </rPr>
          <t xml:space="preserve">
使用道具可获得的奖励，Reward表ID</t>
        </r>
      </text>
    </comment>
    <comment ref="Q2" authorId="0" shapeId="0" xr:uid="{3EF562B7-AAF4-4F61-87D4-05CC93C2021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用于经验瓶等道具的奖励计算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经验瓶：直接填写增加的经验值</t>
        </r>
      </text>
    </comment>
    <comment ref="R2" authorId="0" shapeId="0" xr:uid="{0D53985C-033A-4F06-961D-17E66F50138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玩家持有该道具的最大持有量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S2" authorId="0" shapeId="0" xr:uid="{02563375-FE32-4F57-B72A-D0BDD427CA3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获取来源还没做</t>
        </r>
      </text>
    </comment>
    <comment ref="T2" authorId="0" shapeId="0" xr:uid="{BB937D1A-7F1A-49AB-ADE3-AF6A19153392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该道具出售时以何种货币结算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1：金币
2：水晶
3：钻石</t>
        </r>
      </text>
    </comment>
    <comment ref="U2" authorId="0" shapeId="0" xr:uid="{B734CACF-61BB-43CC-967B-BC14DD18FBF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道具出售结算的货币数量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填具体数值，不可出售填-1</t>
        </r>
      </text>
    </comment>
    <comment ref="V2" authorId="0" shapeId="0" xr:uid="{39E40E52-B1E7-479C-B826-106A218E254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当道具类型为碎片时，此处填对应角色ID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HeroBase表ID</t>
        </r>
      </text>
    </comment>
    <comment ref="W2" authorId="0" shapeId="0" xr:uid="{C1641D1A-90A2-4AA9-A337-E50AEBE3AD8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判断是否可以一次性使用多个道具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1:可以
0:不可以</t>
        </r>
      </text>
    </comment>
    <comment ref="X2" authorId="0" shapeId="0" xr:uid="{CCE41A46-F78B-46E9-8B31-B9107751F63C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判断得到该道具时是否自动使用
</t>
        </r>
        <r>
          <rPr>
            <b/>
            <sz val="9"/>
            <rFont val="宋体"/>
            <family val="3"/>
            <charset val="134"/>
          </rPr>
          <t>配置方式</t>
        </r>
        <r>
          <rPr>
            <sz val="9"/>
            <rFont val="宋体"/>
            <family val="3"/>
            <charset val="134"/>
          </rPr>
          <t xml:space="preserve">
1：立刻使用
0：不使用</t>
        </r>
      </text>
    </comment>
    <comment ref="Y2" authorId="0" shapeId="0" xr:uid="{78DA4956-4B00-44A8-9833-4FFF65AA0AB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Z2" authorId="0" shapeId="0" xr:uid="{616637A2-37A0-4A6C-BC34-D51FA829F1A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用于背包内道具排序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命名规则为：道具类型+品质+序号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8ADDCCC-15F9-4933-8723-8384FEFD41E0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2E9230D9-BB83-4BC3-BC0C-D63E6BC5A14B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填角色模型资源的名称</t>
        </r>
      </text>
    </comment>
    <comment ref="E2" authorId="0" shapeId="0" xr:uid="{4D121196-E836-4414-95D8-87263181218E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填角色立绘资源的名称
若无立绘此处填写null</t>
        </r>
      </text>
    </comment>
    <comment ref="F2" authorId="0" shapeId="0" xr:uid="{8E5C125F-8BB5-4B28-9350-091621F5FAE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</t>
        </r>
      </text>
    </comment>
  </commentList>
</comments>
</file>

<file path=xl/sharedStrings.xml><?xml version="1.0" encoding="utf-8"?>
<sst xmlns="http://schemas.openxmlformats.org/spreadsheetml/2006/main" count="911" uniqueCount="481">
  <si>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</si>
  <si>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</si>
  <si>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</si>
  <si>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</si>
  <si>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</si>
  <si>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</si>
  <si>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</si>
  <si>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</si>
  <si>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</si>
  <si>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</si>
  <si>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</si>
  <si>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</si>
  <si>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</si>
  <si>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</si>
  <si>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</si>
  <si>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</si>
  <si>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</si>
  <si>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</si>
  <si>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</si>
  <si>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</si>
  <si>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</si>
  <si>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</si>
  <si>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</si>
  <si>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</si>
  <si>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</si>
  <si>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</si>
  <si>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</si>
  <si>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</si>
  <si>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</si>
  <si>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</si>
  <si>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</si>
  <si>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</si>
  <si>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</si>
  <si>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</si>
  <si>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</si>
  <si>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</si>
  <si>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</si>
  <si>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</si>
  <si>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</si>
  <si>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</si>
  <si>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</si>
  <si>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</si>
  <si>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</si>
  <si>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</si>
  <si>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</si>
  <si>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</si>
  <si>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</si>
  <si>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</si>
  <si>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</si>
  <si>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</si>
  <si>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</si>
  <si>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</si>
  <si>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</si>
  <si>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</si>
  <si>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</si>
  <si>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</si>
  <si>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</si>
  <si>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</si>
  <si>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</si>
  <si>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</si>
  <si>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</si>
  <si>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</si>
  <si>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</si>
  <si>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</si>
  <si>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</si>
  <si>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</si>
  <si>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</si>
  <si>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</si>
  <si>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</si>
  <si>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</si>
  <si>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</si>
  <si>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</si>
  <si>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</si>
  <si>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E:\vampire\src\Configs\Release</t>
    <phoneticPr fontId="7" type="noConversion"/>
  </si>
  <si>
    <t>控制列</t>
  </si>
  <si>
    <t>$</t>
  </si>
  <si>
    <t>string</t>
  </si>
  <si>
    <t>PRIMARY</t>
  </si>
  <si>
    <t>标识</t>
  </si>
  <si>
    <t>备注</t>
  </si>
  <si>
    <t>C</t>
  </si>
  <si>
    <t>_id</t>
    <phoneticPr fontId="22" type="noConversion"/>
  </si>
  <si>
    <t>XTi_Name</t>
  </si>
  <si>
    <t>香缇</t>
  </si>
  <si>
    <t>XTi_CVName</t>
  </si>
  <si>
    <t>Intro_XTi</t>
  </si>
  <si>
    <t>YHMing_Name</t>
  </si>
  <si>
    <t>伊贺鸣</t>
  </si>
  <si>
    <t>YHMing_CVName</t>
  </si>
  <si>
    <t>Intro_YHMing</t>
  </si>
  <si>
    <t>DWZXi_Name</t>
  </si>
  <si>
    <t>Intro_DWZXi</t>
  </si>
  <si>
    <t>SQBYTSi_Name</t>
  </si>
  <si>
    <t>神曲·贝亚特丝</t>
  </si>
  <si>
    <t>SQBYTSi_CVName</t>
  </si>
  <si>
    <t>Intro_SQBYTSi</t>
  </si>
  <si>
    <t>IHF_XTi_Name</t>
  </si>
  <si>
    <t>香缇碎片</t>
  </si>
  <si>
    <t>IHF_XTi_FunctionDesc</t>
  </si>
  <si>
    <t>IHF_XTi_StoryDesc</t>
  </si>
  <si>
    <t>亚森罗宾碎片，快去和她链接吧</t>
  </si>
  <si>
    <t>IHF_YHMing_Name</t>
  </si>
  <si>
    <t>伊贺鸣碎片</t>
  </si>
  <si>
    <t>IHF_YHMing_FunctionDesc</t>
  </si>
  <si>
    <t>IHF_YHMing_StoryDesc</t>
  </si>
  <si>
    <t>IHF_DWZXi_Name</t>
  </si>
  <si>
    <t>东文真希碎片</t>
  </si>
  <si>
    <t>IHF_DWZXi_FunctionDesc</t>
  </si>
  <si>
    <t>IHF_DWZXi_StoryDesc</t>
  </si>
  <si>
    <t>IHF_SQBYTSi_Name</t>
  </si>
  <si>
    <t>神曲·贝亚特丝碎片</t>
  </si>
  <si>
    <t>IHF_SQBYTSi_FunctionDesc</t>
  </si>
  <si>
    <t>IHF_SQBYTSi_StoryDesc</t>
  </si>
  <si>
    <t>东文真希</t>
  </si>
  <si>
    <t>Translate</t>
    <phoneticPr fontId="22" type="noConversion"/>
  </si>
  <si>
    <t>文本</t>
    <phoneticPr fontId="22" type="noConversion"/>
  </si>
  <si>
    <t>Text</t>
    <phoneticPr fontId="22" type="noConversion"/>
  </si>
  <si>
    <t>$Text</t>
    <phoneticPr fontId="22" type="noConversion"/>
  </si>
  <si>
    <t>悠木碧</t>
    <phoneticPr fontId="22" type="noConversion"/>
  </si>
  <si>
    <t>DWZXi_CVName</t>
  </si>
  <si>
    <t>Bubble_XTi_1</t>
  </si>
  <si>
    <t>哼，事先说好，跟你搭档只是暂时的，别太得意哦！</t>
  </si>
  <si>
    <t>Bubble_YHMing_1</t>
  </si>
  <si>
    <t>Bubble_DWZXi_1</t>
  </si>
  <si>
    <t>Bubble_SQBYTSi_1</t>
  </si>
  <si>
    <t>维纳斯陷阱的冷傲少女，为了背负的使命倾尽一切。斩断一切的终结之人。</t>
    <phoneticPr fontId="22" type="noConversion"/>
  </si>
  <si>
    <t>BBLMa_Awake_Name</t>
  </si>
  <si>
    <t>反逆之刃</t>
  </si>
  <si>
    <t>BBLMa_Awake_Desc</t>
  </si>
  <si>
    <t>幽幽逆刃辉，默默难相闻。枫色染田川，落樱在深泉。</t>
  </si>
  <si>
    <t>集齐${Num}个可召唤角色</t>
    <phoneticPr fontId="22" type="noConversion"/>
  </si>
  <si>
    <t>#Del</t>
  </si>
  <si>
    <t>HeroAttrConfig</t>
    <phoneticPr fontId="24" type="noConversion"/>
  </si>
  <si>
    <t>id</t>
  </si>
  <si>
    <t>初始战力</t>
  </si>
  <si>
    <t>攻击</t>
  </si>
  <si>
    <t>最大生命值</t>
  </si>
  <si>
    <t>防御</t>
  </si>
  <si>
    <t>最大怒气</t>
  </si>
  <si>
    <t>初始怒气</t>
  </si>
  <si>
    <t>被击回怒率</t>
  </si>
  <si>
    <t>出手怒气</t>
  </si>
  <si>
    <t>每秒回怒</t>
  </si>
  <si>
    <t>回怒率</t>
  </si>
  <si>
    <t>暴击率</t>
  </si>
  <si>
    <t>暴击强度</t>
  </si>
  <si>
    <t>抗暴率</t>
  </si>
  <si>
    <t>抗暴击强度</t>
  </si>
  <si>
    <t>吸血率</t>
  </si>
  <si>
    <t>反伤率</t>
  </si>
  <si>
    <t>伤害率</t>
  </si>
  <si>
    <t>免伤率</t>
  </si>
  <si>
    <t>治疗率</t>
  </si>
  <si>
    <t>被治疗率</t>
  </si>
  <si>
    <t>格挡率</t>
  </si>
  <si>
    <t>格挡强度</t>
  </si>
  <si>
    <t>抗格率</t>
  </si>
  <si>
    <t>连击率</t>
  </si>
  <si>
    <t>反击率</t>
  </si>
  <si>
    <t>免死率</t>
  </si>
  <si>
    <t>闪避率</t>
  </si>
  <si>
    <t>命中率</t>
  </si>
  <si>
    <t>先手值</t>
  </si>
  <si>
    <t>斩杀率</t>
  </si>
  <si>
    <t>AppType.ClientH</t>
  </si>
  <si>
    <t>CS</t>
  </si>
  <si>
    <t>int</t>
  </si>
  <si>
    <t>double</t>
  </si>
  <si>
    <t>_id</t>
  </si>
  <si>
    <t>InitialCombat</t>
  </si>
  <si>
    <t>ATK</t>
  </si>
  <si>
    <t>MAXHP</t>
  </si>
  <si>
    <t>DEF</t>
  </si>
  <si>
    <t>MAXER</t>
  </si>
  <si>
    <t>IER</t>
  </si>
  <si>
    <t>ATKER</t>
  </si>
  <si>
    <t>MER</t>
  </si>
  <si>
    <t>GER</t>
  </si>
  <si>
    <t>ERR</t>
  </si>
  <si>
    <t>CC</t>
  </si>
  <si>
    <t>CRI</t>
  </si>
  <si>
    <t>RC</t>
  </si>
  <si>
    <t>RCI</t>
  </si>
  <si>
    <t>BSR</t>
  </si>
  <si>
    <t>THN</t>
  </si>
  <si>
    <t>DE</t>
  </si>
  <si>
    <t>DIR</t>
  </si>
  <si>
    <t>HEL</t>
  </si>
  <si>
    <t>HELD</t>
  </si>
  <si>
    <t>BLK</t>
  </si>
  <si>
    <t>BLKI</t>
  </si>
  <si>
    <t>RBR</t>
  </si>
  <si>
    <t>COMBO</t>
  </si>
  <si>
    <t>CATK</t>
  </si>
  <si>
    <t>AVD</t>
  </si>
  <si>
    <t>EVA</t>
  </si>
  <si>
    <t>ACC</t>
  </si>
  <si>
    <t>SPD</t>
  </si>
  <si>
    <t>SLAY</t>
  </si>
  <si>
    <t>XTi_Attr</t>
  </si>
  <si>
    <t>YHMing_Attr</t>
  </si>
  <si>
    <t>DWZXi_Attr</t>
  </si>
  <si>
    <t>SQBYTSi_Attr</t>
  </si>
  <si>
    <t>HeroAwaken</t>
    <phoneticPr fontId="7" type="noConversion"/>
  </si>
  <si>
    <t>当前层ID</t>
    <phoneticPr fontId="7" type="noConversion"/>
  </si>
  <si>
    <t>下一层ID</t>
    <phoneticPr fontId="22" type="noConversion"/>
  </si>
  <si>
    <t>对应角色ID</t>
    <phoneticPr fontId="22" type="noConversion"/>
  </si>
  <si>
    <t>升到下一层消耗碎片数量</t>
    <phoneticPr fontId="22" type="noConversion"/>
  </si>
  <si>
    <t>升到下一层消耗粉尘数量</t>
    <phoneticPr fontId="22" type="noConversion"/>
  </si>
  <si>
    <t>升下一层要求好感等级</t>
    <phoneticPr fontId="22" type="noConversion"/>
  </si>
  <si>
    <t>升到当前觉醒属性类型</t>
    <phoneticPr fontId="22" type="noConversion"/>
  </si>
  <si>
    <t>升到当前觉醒属性值</t>
    <phoneticPr fontId="22" type="noConversion"/>
  </si>
  <si>
    <t>当前觉醒增加升级效果类型</t>
    <phoneticPr fontId="22" type="noConversion"/>
  </si>
  <si>
    <t>当前觉醒增加升级效果比例</t>
    <phoneticPr fontId="22" type="noConversion"/>
  </si>
  <si>
    <t>皮肤ID</t>
    <phoneticPr fontId="7" type="noConversion"/>
  </si>
  <si>
    <t>模型ID</t>
    <phoneticPr fontId="7" type="noConversion"/>
  </si>
  <si>
    <t>未解锁立绘</t>
    <phoneticPr fontId="7" type="noConversion"/>
  </si>
  <si>
    <t>头像奖励</t>
    <phoneticPr fontId="7" type="noConversion"/>
  </si>
  <si>
    <t>角色待机特效</t>
    <phoneticPr fontId="7" type="noConversion"/>
  </si>
  <si>
    <t>觉醒名</t>
    <phoneticPr fontId="7" type="noConversion"/>
  </si>
  <si>
    <t>觉醒描述</t>
    <phoneticPr fontId="7" type="noConversion"/>
  </si>
  <si>
    <t>觉醒小人</t>
    <phoneticPr fontId="7" type="noConversion"/>
  </si>
  <si>
    <t>背景图</t>
    <phoneticPr fontId="7" type="noConversion"/>
  </si>
  <si>
    <t>觉醒音乐</t>
    <phoneticPr fontId="7" type="noConversion"/>
  </si>
  <si>
    <t>战斗插入偏移</t>
    <phoneticPr fontId="7" type="noConversion"/>
  </si>
  <si>
    <t>CS</t>
    <phoneticPr fontId="22" type="noConversion"/>
  </si>
  <si>
    <t>C</t>
    <phoneticPr fontId="7" type="noConversion"/>
  </si>
  <si>
    <t>string</t>
    <phoneticPr fontId="7" type="noConversion"/>
  </si>
  <si>
    <t>int</t>
    <phoneticPr fontId="22" type="noConversion"/>
  </si>
  <si>
    <t>string[]</t>
    <phoneticPr fontId="22" type="noConversion"/>
  </si>
  <si>
    <t>int[]</t>
    <phoneticPr fontId="22" type="noConversion"/>
  </si>
  <si>
    <t>double[]</t>
    <phoneticPr fontId="22" type="noConversion"/>
  </si>
  <si>
    <t>double[]</t>
    <phoneticPr fontId="7" type="noConversion"/>
  </si>
  <si>
    <t>NextId</t>
    <phoneticPr fontId="22" type="noConversion"/>
  </si>
  <si>
    <t>HeroId</t>
    <phoneticPr fontId="22" type="noConversion"/>
  </si>
  <si>
    <t>CostFrag</t>
    <phoneticPr fontId="22" type="noConversion"/>
  </si>
  <si>
    <t>CostStive</t>
    <phoneticPr fontId="22" type="noConversion"/>
  </si>
  <si>
    <t>NeedLove</t>
    <phoneticPr fontId="7" type="noConversion"/>
  </si>
  <si>
    <t>AttrType</t>
    <phoneticPr fontId="22" type="noConversion"/>
  </si>
  <si>
    <t>AttrValue</t>
    <phoneticPr fontId="22" type="noConversion"/>
  </si>
  <si>
    <t>AttrGrowType</t>
    <phoneticPr fontId="22" type="noConversion"/>
  </si>
  <si>
    <t>AttrGrowValue</t>
    <phoneticPr fontId="22" type="noConversion"/>
  </si>
  <si>
    <t>Surface_id</t>
  </si>
  <si>
    <t>Model_id</t>
  </si>
  <si>
    <t>Portrait</t>
  </si>
  <si>
    <t>PlayHeadReward</t>
    <phoneticPr fontId="7" type="noConversion"/>
  </si>
  <si>
    <t>StandVFX</t>
    <phoneticPr fontId="7" type="noConversion"/>
  </si>
  <si>
    <t>Name</t>
    <phoneticPr fontId="7" type="noConversion"/>
  </si>
  <si>
    <t>NameDesc</t>
    <phoneticPr fontId="7" type="noConversion"/>
  </si>
  <si>
    <t>ShowHero</t>
    <phoneticPr fontId="7" type="noConversion"/>
  </si>
  <si>
    <t>Since</t>
    <phoneticPr fontId="7" type="noConversion"/>
  </si>
  <si>
    <t>AnimSound</t>
    <phoneticPr fontId="7" type="noConversion"/>
  </si>
  <si>
    <t>CutIn</t>
    <phoneticPr fontId="7" type="noConversion"/>
  </si>
  <si>
    <t>FOREIGN:HeroBase._id</t>
    <phoneticPr fontId="22" type="noConversion"/>
  </si>
  <si>
    <t>FOREIGN:Surface._id</t>
  </si>
  <si>
    <t>FOREIGN:RoleModel._id</t>
  </si>
  <si>
    <t>FOREIGN:Translate._id</t>
  </si>
  <si>
    <t>[ATK,DEF,HPMAX]</t>
    <phoneticPr fontId="22" type="noConversion"/>
  </si>
  <si>
    <t>[1,1,1]</t>
    <phoneticPr fontId="22" type="noConversion"/>
  </si>
  <si>
    <t>qm_bg_bj</t>
  </si>
  <si>
    <t>[100,10,500]</t>
    <phoneticPr fontId="22" type="noConversion"/>
  </si>
  <si>
    <t>[1.5,1.5,1.5]</t>
    <phoneticPr fontId="22" type="noConversion"/>
  </si>
  <si>
    <t>[0,0,1.5]</t>
  </si>
  <si>
    <t>[200,20,1000]</t>
    <phoneticPr fontId="22" type="noConversion"/>
  </si>
  <si>
    <t>[2,2,2]</t>
    <phoneticPr fontId="22" type="noConversion"/>
  </si>
  <si>
    <t>CounterRateUp</t>
  </si>
  <si>
    <t>[300,30,1500]</t>
    <phoneticPr fontId="22" type="noConversion"/>
  </si>
  <si>
    <t>[2.5,2.5,2.5]</t>
    <phoneticPr fontId="22" type="noConversion"/>
  </si>
  <si>
    <t>[400,40,2000]</t>
    <phoneticPr fontId="22" type="noConversion"/>
  </si>
  <si>
    <t>[3,3,3]</t>
    <phoneticPr fontId="22" type="noConversion"/>
  </si>
  <si>
    <t>DWZXi_0</t>
    <phoneticPr fontId="22" type="noConversion"/>
  </si>
  <si>
    <t>DWZXi_1</t>
  </si>
  <si>
    <t>DWZXi</t>
    <phoneticPr fontId="22" type="noConversion"/>
  </si>
  <si>
    <t>Model_BBLMa_UnAwake</t>
  </si>
  <si>
    <t>BBLMa_Awake_Name</t>
    <phoneticPr fontId="22" type="noConversion"/>
  </si>
  <si>
    <t>BBLMa_Awake_Desc</t>
    <phoneticPr fontId="22" type="noConversion"/>
  </si>
  <si>
    <t>DWZXi_2</t>
  </si>
  <si>
    <t>Surface_BBLMa_Awake</t>
    <phoneticPr fontId="22" type="noConversion"/>
  </si>
  <si>
    <t>DWZXi_3</t>
  </si>
  <si>
    <t>Model_BBLMa_Awake</t>
  </si>
  <si>
    <t>BBLMa</t>
  </si>
  <si>
    <t>DWZXi_4</t>
  </si>
  <si>
    <t>HeroAwaken_BBLMa</t>
  </si>
  <si>
    <t>HeroBase</t>
    <phoneticPr fontId="22" type="noConversion"/>
  </si>
  <si>
    <t>标识</t>
    <phoneticPr fontId="22" type="noConversion"/>
  </si>
  <si>
    <t>名字</t>
  </si>
  <si>
    <t>$备注说明</t>
  </si>
  <si>
    <t>是否显示</t>
  </si>
  <si>
    <t>角色模型</t>
    <phoneticPr fontId="22" type="noConversion"/>
  </si>
  <si>
    <t>资质</t>
  </si>
  <si>
    <t>阵营</t>
    <phoneticPr fontId="22" type="noConversion"/>
  </si>
  <si>
    <t>费用</t>
  </si>
  <si>
    <t>职业</t>
    <phoneticPr fontId="22" type="noConversion"/>
  </si>
  <si>
    <t>角色碎片</t>
  </si>
  <si>
    <t>被动技能</t>
    <phoneticPr fontId="22" type="noConversion"/>
  </si>
  <si>
    <t>普通攻击</t>
  </si>
  <si>
    <t>特殊技</t>
    <phoneticPr fontId="22" type="noConversion"/>
  </si>
  <si>
    <t>觉醒技</t>
    <phoneticPr fontId="22" type="noConversion"/>
  </si>
  <si>
    <t>角色属性</t>
  </si>
  <si>
    <t>基础属性类型</t>
  </si>
  <si>
    <t>基础属性值</t>
  </si>
  <si>
    <t>升级成长</t>
  </si>
  <si>
    <t>升品属性类型</t>
  </si>
  <si>
    <t>升品属性比例</t>
  </si>
  <si>
    <t>升星属性类型</t>
  </si>
  <si>
    <t>升星属性比例</t>
  </si>
  <si>
    <t>初始等级ID</t>
    <phoneticPr fontId="22" type="noConversion"/>
  </si>
  <si>
    <t>初始品质对应属性</t>
    <phoneticPr fontId="22" type="noConversion"/>
  </si>
  <si>
    <t>初始星级ID</t>
    <phoneticPr fontId="22" type="noConversion"/>
  </si>
  <si>
    <t>CV名字</t>
  </si>
  <si>
    <t>气泡文本列表</t>
    <phoneticPr fontId="22" type="noConversion"/>
  </si>
  <si>
    <t>角色语音列表</t>
    <phoneticPr fontId="22" type="noConversion"/>
  </si>
  <si>
    <t>皮肤列表</t>
  </si>
  <si>
    <t>角色简介</t>
    <phoneticPr fontId="22" type="noConversion"/>
  </si>
  <si>
    <t>C</t>
    <phoneticPr fontId="22" type="noConversion"/>
  </si>
  <si>
    <t>string</t>
    <phoneticPr fontId="22" type="noConversion"/>
  </si>
  <si>
    <t>string[]</t>
  </si>
  <si>
    <t>Name</t>
  </si>
  <si>
    <t>Show</t>
  </si>
  <si>
    <t>RoleModel</t>
  </si>
  <si>
    <t>Rarity</t>
  </si>
  <si>
    <t>Party</t>
  </si>
  <si>
    <t>Cost</t>
  </si>
  <si>
    <t>Type</t>
  </si>
  <si>
    <t>Fragment</t>
  </si>
  <si>
    <t>PassiveSkill</t>
    <phoneticPr fontId="22" type="noConversion"/>
  </si>
  <si>
    <t>NormalSkill</t>
    <phoneticPr fontId="22" type="noConversion"/>
  </si>
  <si>
    <t>SpecialSkill</t>
    <phoneticPr fontId="22" type="noConversion"/>
  </si>
  <si>
    <t>UniqueSkill</t>
    <phoneticPr fontId="22" type="noConversion"/>
  </si>
  <si>
    <t>HeroAttr</t>
  </si>
  <si>
    <t>PropName</t>
    <phoneticPr fontId="22" type="noConversion"/>
  </si>
  <si>
    <t>PropValue</t>
    <phoneticPr fontId="22" type="noConversion"/>
  </si>
  <si>
    <t>GrowLevelSn</t>
    <phoneticPr fontId="22" type="noConversion"/>
  </si>
  <si>
    <t>QualityProp</t>
    <phoneticPr fontId="22" type="noConversion"/>
  </si>
  <si>
    <t>QualityRate</t>
    <phoneticPr fontId="22" type="noConversion"/>
  </si>
  <si>
    <t>StarRateProp</t>
    <phoneticPr fontId="22" type="noConversion"/>
  </si>
  <si>
    <t>StarRate</t>
    <phoneticPr fontId="22" type="noConversion"/>
  </si>
  <si>
    <t>StartLevelSn</t>
    <phoneticPr fontId="22" type="noConversion"/>
  </si>
  <si>
    <t>BaseQualityAttr</t>
  </si>
  <si>
    <t>StartStar</t>
    <phoneticPr fontId="22" type="noConversion"/>
  </si>
  <si>
    <t>CVName</t>
  </si>
  <si>
    <t>BubbleList</t>
    <phoneticPr fontId="22" type="noConversion"/>
  </si>
  <si>
    <t>HeroVoice</t>
  </si>
  <si>
    <t>SurfaceList</t>
  </si>
  <si>
    <t>HeroShowIntro</t>
  </si>
  <si>
    <t>FOREIGN:Translate._id</t>
    <phoneticPr fontId="22" type="noConversion"/>
  </si>
  <si>
    <t>FOREIGN:RoleModel._id</t>
    <phoneticPr fontId="22" type="noConversion"/>
  </si>
  <si>
    <t>FOREIGN:ItemConfig._id</t>
  </si>
  <si>
    <t>FOREIGN:Skill.Id</t>
  </si>
  <si>
    <t>FOREIGN:Skill._id</t>
    <phoneticPr fontId="22" type="noConversion"/>
  </si>
  <si>
    <t>FOREIGN:HeroAttr._id</t>
    <phoneticPr fontId="22" type="noConversion"/>
  </si>
  <si>
    <t>FOREIGN:AttrConfig_id</t>
    <phoneticPr fontId="22" type="noConversion"/>
  </si>
  <si>
    <t>FOREIGN:HeroGrow_id</t>
    <phoneticPr fontId="22" type="noConversion"/>
  </si>
  <si>
    <t>FOREIGN:HeroExp.Id</t>
    <phoneticPr fontId="22" type="noConversion"/>
  </si>
  <si>
    <t>FOREIGN:HeroQuality._id</t>
    <phoneticPr fontId="22" type="noConversion"/>
  </si>
  <si>
    <t>FOREIGN:HeroStarEffect._id</t>
    <phoneticPr fontId="22" type="noConversion"/>
  </si>
  <si>
    <t>FOREIGN:Translate.Id</t>
  </si>
  <si>
    <t>FOREIGN:Sound._id</t>
    <phoneticPr fontId="22" type="noConversion"/>
  </si>
  <si>
    <t>[ATK,DEF,MAXHP]</t>
  </si>
  <si>
    <t>[50,10,500]</t>
  </si>
  <si>
    <t>[1,1.2,2]</t>
  </si>
  <si>
    <t>[0.5,1.3,3]</t>
  </si>
  <si>
    <t>R_10_Defense</t>
  </si>
  <si>
    <t>R_1</t>
    <phoneticPr fontId="22" type="noConversion"/>
  </si>
  <si>
    <t>[100,10,200]</t>
  </si>
  <si>
    <t>[1.5,1,1]</t>
  </si>
  <si>
    <t>[1.5,4,2]</t>
  </si>
  <si>
    <t>SR_10_Attack</t>
  </si>
  <si>
    <t>SR_1</t>
    <phoneticPr fontId="22" type="noConversion"/>
  </si>
  <si>
    <t>SSR_10_Attack</t>
  </si>
  <si>
    <t>SSR_1</t>
    <phoneticPr fontId="22" type="noConversion"/>
  </si>
  <si>
    <t>SP_10_Curse</t>
  </si>
  <si>
    <t>SP_1</t>
    <phoneticPr fontId="22" type="noConversion"/>
  </si>
  <si>
    <t>XTi</t>
  </si>
  <si>
    <t>Model_XTi</t>
  </si>
  <si>
    <t>IHF_XTi</t>
  </si>
  <si>
    <t>Skill_Passive_XTi</t>
  </si>
  <si>
    <t>Skill_Normal_XTi</t>
  </si>
  <si>
    <t>Skill_Special_XTi</t>
  </si>
  <si>
    <t>Skill_Unique_XTi</t>
  </si>
  <si>
    <t>[Bubble_XTi_1]</t>
  </si>
  <si>
    <t>YHMing</t>
  </si>
  <si>
    <t>Model_YHMing</t>
  </si>
  <si>
    <t>IHF_YHMing</t>
  </si>
  <si>
    <t>Skill_Passive_YHMing</t>
  </si>
  <si>
    <t>Skill_Normal_YHMing</t>
  </si>
  <si>
    <t>Skill_Special_YHMing</t>
  </si>
  <si>
    <t>Skill_Unique_YHMing</t>
  </si>
  <si>
    <t>[Bubble_YHMing_1]</t>
  </si>
  <si>
    <t>DWZXi</t>
  </si>
  <si>
    <t>东文真希</t>
    <phoneticPr fontId="22" type="noConversion"/>
  </si>
  <si>
    <t>Model_DWZXi</t>
  </si>
  <si>
    <t>IHF_DWZXi</t>
  </si>
  <si>
    <t>Skill_Passive_DWZXi</t>
  </si>
  <si>
    <t>Skill_Normal_DWZXi</t>
  </si>
  <si>
    <t>[Bubble_DWZXi_1]</t>
  </si>
  <si>
    <t>SQBYTSi</t>
  </si>
  <si>
    <t>Model_SQBYTSi</t>
  </si>
  <si>
    <t>IHF_SQBYTSi</t>
  </si>
  <si>
    <t>Skill_Passive_SQBYTSi</t>
  </si>
  <si>
    <t>Skill_Normal_SQBYTSi</t>
  </si>
  <si>
    <t>[Bubble_SQBYTSi_1]</t>
  </si>
  <si>
    <t>ItemConfig</t>
    <phoneticPr fontId="7" type="noConversion"/>
  </si>
  <si>
    <t>标识</t>
    <phoneticPr fontId="24" type="noConversion"/>
  </si>
  <si>
    <t>名字</t>
    <phoneticPr fontId="24" type="noConversion"/>
  </si>
  <si>
    <t>$备注说明</t>
    <phoneticPr fontId="24" type="noConversion"/>
  </si>
  <si>
    <t>功能描述</t>
    <phoneticPr fontId="22" type="noConversion"/>
  </si>
  <si>
    <t>$备注</t>
    <phoneticPr fontId="24" type="noConversion"/>
  </si>
  <si>
    <t>包装文本</t>
    <phoneticPr fontId="24" type="noConversion"/>
  </si>
  <si>
    <t>是否在背包可见</t>
  </si>
  <si>
    <t>页签</t>
    <phoneticPr fontId="22" type="noConversion"/>
  </si>
  <si>
    <t>道具类型</t>
    <phoneticPr fontId="24" type="noConversion"/>
  </si>
  <si>
    <t>类型名称</t>
    <phoneticPr fontId="22" type="noConversion"/>
  </si>
  <si>
    <t>图标</t>
    <phoneticPr fontId="24" type="noConversion"/>
  </si>
  <si>
    <t>道具品质</t>
    <phoneticPr fontId="24" type="noConversion"/>
  </si>
  <si>
    <t>获得对应奖励</t>
    <phoneticPr fontId="22" type="noConversion"/>
  </si>
  <si>
    <t>奖励参数</t>
    <phoneticPr fontId="22" type="noConversion"/>
  </si>
  <si>
    <t>最大持有数量</t>
    <phoneticPr fontId="22" type="noConversion"/>
  </si>
  <si>
    <t>来源</t>
  </si>
  <si>
    <t>货币类型</t>
    <phoneticPr fontId="24" type="noConversion"/>
  </si>
  <si>
    <t>价格</t>
    <phoneticPr fontId="24" type="noConversion"/>
  </si>
  <si>
    <t>碎片对应角色ID</t>
    <phoneticPr fontId="22" type="noConversion"/>
  </si>
  <si>
    <t>是否可以批量使用</t>
  </si>
  <si>
    <t>获得时立刻使用</t>
  </si>
  <si>
    <t>背包中是否发光</t>
  </si>
  <si>
    <t>排序号</t>
  </si>
  <si>
    <t>CS</t>
    <phoneticPr fontId="24" type="noConversion"/>
  </si>
  <si>
    <t>$</t>
    <phoneticPr fontId="24" type="noConversion"/>
  </si>
  <si>
    <t>C</t>
    <phoneticPr fontId="24" type="noConversion"/>
  </si>
  <si>
    <t>string</t>
    <phoneticPr fontId="24" type="noConversion"/>
  </si>
  <si>
    <t>$</t>
    <phoneticPr fontId="22" type="noConversion"/>
  </si>
  <si>
    <t>_id</t>
    <phoneticPr fontId="24" type="noConversion"/>
  </si>
  <si>
    <t>Name</t>
    <phoneticPr fontId="24" type="noConversion"/>
  </si>
  <si>
    <t>$Name</t>
    <phoneticPr fontId="22" type="noConversion"/>
  </si>
  <si>
    <t>FunctionDesc</t>
    <phoneticPr fontId="22" type="noConversion"/>
  </si>
  <si>
    <t>$FunctionDesc</t>
    <phoneticPr fontId="22" type="noConversion"/>
  </si>
  <si>
    <t>StoryDesc</t>
    <phoneticPr fontId="24" type="noConversion"/>
  </si>
  <si>
    <t>$StoryDesc</t>
    <phoneticPr fontId="22" type="noConversion"/>
  </si>
  <si>
    <t>Visible</t>
    <phoneticPr fontId="22" type="noConversion"/>
  </si>
  <si>
    <t>Page</t>
  </si>
  <si>
    <t>Type</t>
    <phoneticPr fontId="24" type="noConversion"/>
  </si>
  <si>
    <t>TypeName</t>
    <phoneticPr fontId="22" type="noConversion"/>
  </si>
  <si>
    <t>$TypeNameName</t>
    <phoneticPr fontId="22" type="noConversion"/>
  </si>
  <si>
    <t>Icon</t>
    <phoneticPr fontId="24" type="noConversion"/>
  </si>
  <si>
    <t>Quality</t>
    <phoneticPr fontId="24" type="noConversion"/>
  </si>
  <si>
    <t>Reward</t>
    <phoneticPr fontId="22" type="noConversion"/>
  </si>
  <si>
    <t>Parameter</t>
    <phoneticPr fontId="24" type="noConversion"/>
  </si>
  <si>
    <t>MaxPile</t>
  </si>
  <si>
    <t>Resource</t>
    <phoneticPr fontId="7" type="noConversion"/>
  </si>
  <si>
    <t>Money</t>
    <phoneticPr fontId="24" type="noConversion"/>
  </si>
  <si>
    <t>Price</t>
    <phoneticPr fontId="24" type="noConversion"/>
  </si>
  <si>
    <t>TargetId</t>
  </si>
  <si>
    <t>MultiUse</t>
  </si>
  <si>
    <t>UseAtOnce</t>
  </si>
  <si>
    <t>ShinePack</t>
  </si>
  <si>
    <t>Sort</t>
  </si>
  <si>
    <t>PRIMARY</t>
    <phoneticPr fontId="22" type="noConversion"/>
  </si>
  <si>
    <t>FOREIGN:RewardConfig._id</t>
    <phoneticPr fontId="22" type="noConversion"/>
  </si>
  <si>
    <t>FOREIGN:ItemResource._id</t>
    <phoneticPr fontId="7" type="noConversion"/>
  </si>
  <si>
    <t>集齐X个可召唤角色</t>
  </si>
  <si>
    <t>6001_Name</t>
  </si>
  <si>
    <t>Activity_puzzle_ico_m_suipian_1</t>
  </si>
  <si>
    <t>RoleModel</t>
    <phoneticPr fontId="22" type="noConversion"/>
  </si>
  <si>
    <t>模型资源</t>
  </si>
  <si>
    <t>立绘资源</t>
  </si>
  <si>
    <t>头像</t>
  </si>
  <si>
    <t>Model</t>
  </si>
  <si>
    <t>Filename</t>
  </si>
  <si>
    <t>HeadIcon</t>
  </si>
  <si>
    <t>Model_XTi</t>
    <phoneticPr fontId="22" type="noConversion"/>
  </si>
  <si>
    <t>YKDMLai</t>
  </si>
  <si>
    <t>portraitpic_YKDMLai</t>
  </si>
  <si>
    <t>battlepic_YKDMLai</t>
    <phoneticPr fontId="22" type="noConversion"/>
  </si>
  <si>
    <t>YFZZhu</t>
  </si>
  <si>
    <t>portraitpic_YFZZhu</t>
  </si>
  <si>
    <t>battlepic_YFZZhu</t>
    <phoneticPr fontId="22" type="noConversion"/>
  </si>
  <si>
    <t>portraitpic_BBLMa</t>
  </si>
  <si>
    <t>battlepic_BBLMa</t>
    <phoneticPr fontId="22" type="noConversion"/>
  </si>
  <si>
    <t>sp_bytsi</t>
  </si>
  <si>
    <t>portrait_sp_bytsi</t>
  </si>
  <si>
    <t>battlepic_sp_bytsi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</si>
</sst>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宋体"/>
      <family val="3"/>
      <charset val="134"/>
    </font>
    <font>
      <b/>
      <sz val="9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0"/>
      <name val="宋体"/>
      <family val="3"/>
      <charset val="134"/>
    </font>
    <font>
      <sz val="12"/>
      <color rgb="FF333333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33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49" fontId="23" fillId="8" borderId="0" xfId="0" applyNumberFormat="1" applyFont="1" applyFill="1" applyAlignment="1">
      <alignment horizontal="left" vertical="center"/>
    </xf>
    <xf numFmtId="0" fontId="0" fillId="0" borderId="0" xfId="0" applyAlignment="1"/>
    <xf numFmtId="49" fontId="23" fillId="9" borderId="3" xfId="0" applyNumberFormat="1" applyFont="1" applyFill="1" applyBorder="1" applyAlignment="1">
      <alignment horizontal="left" vertical="center"/>
    </xf>
    <xf numFmtId="49" fontId="23" fillId="9" borderId="0" xfId="0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15" fillId="0" borderId="0" xfId="0" applyFont="1">
      <alignment vertical="center"/>
    </xf>
    <xf numFmtId="49" fontId="23" fillId="10" borderId="3" xfId="0" applyNumberFormat="1" applyFont="1" applyFill="1" applyBorder="1" applyAlignment="1">
      <alignment horizontal="left" vertical="center"/>
    </xf>
    <xf numFmtId="49" fontId="23" fillId="10" borderId="0" xfId="0" applyNumberFormat="1" applyFont="1" applyFill="1" applyAlignment="1">
      <alignment horizontal="left" vertical="center"/>
    </xf>
    <xf numFmtId="49" fontId="23" fillId="10" borderId="0" xfId="11" applyNumberFormat="1" applyFont="1" applyFill="1" applyAlignment="1">
      <alignment horizontal="left" vertical="center"/>
    </xf>
    <xf numFmtId="49" fontId="23" fillId="11" borderId="0" xfId="0" applyNumberFormat="1" applyFont="1" applyFill="1" applyAlignment="1">
      <alignment horizontal="left" vertical="center"/>
    </xf>
    <xf numFmtId="49" fontId="23" fillId="11" borderId="0" xfId="11" applyNumberFormat="1" applyFont="1" applyFill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0" fontId="15" fillId="0" borderId="0" xfId="0" applyFont="1" applyAlignment="1"/>
    <xf numFmtId="0" fontId="16" fillId="0" borderId="0" xfId="12"/>
    <xf numFmtId="49" fontId="0" fillId="0" borderId="0" xfId="0" applyNumberFormat="1">
      <alignment vertical="center"/>
    </xf>
    <xf numFmtId="0" fontId="29" fillId="0" borderId="0" xfId="0" applyFont="1">
      <alignment vertical="center"/>
    </xf>
    <xf numFmtId="49" fontId="30" fillId="10" borderId="3" xfId="0" applyNumberFormat="1" applyFont="1" applyFill="1" applyBorder="1" applyAlignment="1">
      <alignment horizontal="left" vertical="center"/>
    </xf>
    <xf numFmtId="49" fontId="30" fillId="9" borderId="3" xfId="0" applyNumberFormat="1" applyFont="1" applyFill="1" applyBorder="1" applyAlignment="1">
      <alignment horizontal="left" vertical="center"/>
    </xf>
    <xf numFmtId="49" fontId="30" fillId="10" borderId="0" xfId="0" applyNumberFormat="1" applyFont="1" applyFill="1" applyAlignment="1">
      <alignment horizontal="left" vertical="center"/>
    </xf>
    <xf numFmtId="49" fontId="30" fillId="9" borderId="0" xfId="0" applyNumberFormat="1" applyFont="1" applyFill="1" applyAlignment="1">
      <alignment horizontal="left" vertical="center"/>
    </xf>
    <xf numFmtId="49" fontId="30" fillId="11" borderId="0" xfId="0" applyNumberFormat="1" applyFont="1" applyFill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0" fontId="13" fillId="0" borderId="0" xfId="0" applyFont="1" applyAlignment="1"/>
    <xf numFmtId="0" fontId="31" fillId="0" borderId="0" xfId="0" applyFont="1">
      <alignment vertical="center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3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572F0-AFE8-4906-A6DB-F9526552B34F}">
  <sheetPr>
    <tabColor theme="2"/>
  </sheetPr>
  <dimension ref="A1:AF10"/>
  <sheetViews>
    <sheetView workbookViewId="0">
      <selection activeCell="B1" sqref="B1"/>
    </sheetView>
  </sheetViews>
  <sheetFormatPr defaultRowHeight="13.5" x14ac:dyDescent="0.15"/>
  <cols>
    <col min="1" max="1" width="17.25" bestFit="1" customWidth="1"/>
  </cols>
  <sheetData>
    <row r="1" spans="1:32" x14ac:dyDescent="0.15">
      <c r="A1" s="14" t="s">
        <v>132</v>
      </c>
    </row>
    <row r="2" spans="1:32" x14ac:dyDescent="0.15">
      <c r="A2" t="s">
        <v>74</v>
      </c>
      <c r="B2" s="15" t="s">
        <v>133</v>
      </c>
      <c r="C2" s="15" t="s">
        <v>134</v>
      </c>
      <c r="D2" s="15" t="s">
        <v>135</v>
      </c>
      <c r="E2" s="15" t="s">
        <v>136</v>
      </c>
      <c r="F2" s="15" t="s">
        <v>137</v>
      </c>
      <c r="G2" s="15" t="s">
        <v>138</v>
      </c>
      <c r="H2" s="15" t="s">
        <v>139</v>
      </c>
      <c r="I2" s="15" t="s">
        <v>140</v>
      </c>
      <c r="J2" s="15" t="s">
        <v>141</v>
      </c>
      <c r="K2" s="15" t="s">
        <v>142</v>
      </c>
      <c r="L2" s="15" t="s">
        <v>143</v>
      </c>
      <c r="M2" s="15" t="s">
        <v>144</v>
      </c>
      <c r="N2" s="15" t="s">
        <v>145</v>
      </c>
      <c r="O2" s="15" t="s">
        <v>146</v>
      </c>
      <c r="P2" s="15" t="s">
        <v>147</v>
      </c>
      <c r="Q2" s="15" t="s">
        <v>148</v>
      </c>
      <c r="R2" s="15" t="s">
        <v>149</v>
      </c>
      <c r="S2" s="15" t="s">
        <v>150</v>
      </c>
      <c r="T2" s="15" t="s">
        <v>151</v>
      </c>
      <c r="U2" s="15" t="s">
        <v>152</v>
      </c>
      <c r="V2" s="15" t="s">
        <v>153</v>
      </c>
      <c r="W2" s="15" t="s">
        <v>154</v>
      </c>
      <c r="X2" s="15" t="s">
        <v>155</v>
      </c>
      <c r="Y2" s="15" t="s">
        <v>156</v>
      </c>
      <c r="Z2" s="15" t="s">
        <v>157</v>
      </c>
      <c r="AA2" s="15" t="s">
        <v>158</v>
      </c>
      <c r="AB2" s="15" t="s">
        <v>159</v>
      </c>
      <c r="AC2" s="15" t="s">
        <v>160</v>
      </c>
      <c r="AD2" s="15" t="s">
        <v>161</v>
      </c>
      <c r="AE2" s="15" t="s">
        <v>162</v>
      </c>
      <c r="AF2" s="15" t="s">
        <v>163</v>
      </c>
    </row>
    <row r="3" spans="1:32" x14ac:dyDescent="0.15">
      <c r="A3" t="s">
        <v>164</v>
      </c>
      <c r="B3" s="16" t="s">
        <v>165</v>
      </c>
      <c r="C3" s="16" t="s">
        <v>165</v>
      </c>
      <c r="D3" s="16" t="s">
        <v>165</v>
      </c>
      <c r="E3" s="16" t="s">
        <v>165</v>
      </c>
      <c r="F3" s="16" t="s">
        <v>165</v>
      </c>
      <c r="G3" s="16" t="s">
        <v>165</v>
      </c>
      <c r="H3" s="16" t="s">
        <v>165</v>
      </c>
      <c r="I3" s="16" t="s">
        <v>165</v>
      </c>
      <c r="J3" s="16" t="s">
        <v>165</v>
      </c>
      <c r="K3" s="16" t="s">
        <v>165</v>
      </c>
      <c r="L3" s="16" t="s">
        <v>165</v>
      </c>
      <c r="M3" s="16" t="s">
        <v>165</v>
      </c>
      <c r="N3" s="16" t="s">
        <v>165</v>
      </c>
      <c r="O3" s="16" t="s">
        <v>165</v>
      </c>
      <c r="P3" s="16" t="s">
        <v>165</v>
      </c>
      <c r="Q3" s="16" t="s">
        <v>165</v>
      </c>
      <c r="R3" s="16" t="s">
        <v>165</v>
      </c>
      <c r="S3" s="17" t="s">
        <v>165</v>
      </c>
      <c r="T3" s="16" t="s">
        <v>165</v>
      </c>
      <c r="U3" s="16" t="s">
        <v>165</v>
      </c>
      <c r="V3" s="16" t="s">
        <v>165</v>
      </c>
      <c r="W3" s="16" t="s">
        <v>165</v>
      </c>
      <c r="X3" s="16" t="s">
        <v>165</v>
      </c>
      <c r="Y3" s="16" t="s">
        <v>165</v>
      </c>
      <c r="Z3" s="16" t="s">
        <v>165</v>
      </c>
      <c r="AA3" s="16" t="s">
        <v>165</v>
      </c>
      <c r="AB3" s="16" t="s">
        <v>165</v>
      </c>
      <c r="AC3" s="16" t="s">
        <v>165</v>
      </c>
      <c r="AD3" s="16" t="s">
        <v>165</v>
      </c>
      <c r="AE3" s="16" t="s">
        <v>165</v>
      </c>
      <c r="AF3" s="16" t="s">
        <v>165</v>
      </c>
    </row>
    <row r="4" spans="1:32" x14ac:dyDescent="0.15">
      <c r="B4" s="18" t="s">
        <v>76</v>
      </c>
      <c r="C4" s="18" t="s">
        <v>166</v>
      </c>
      <c r="D4" s="18" t="s">
        <v>166</v>
      </c>
      <c r="E4" s="18" t="s">
        <v>166</v>
      </c>
      <c r="F4" s="18" t="s">
        <v>166</v>
      </c>
      <c r="G4" s="18" t="s">
        <v>166</v>
      </c>
      <c r="H4" s="18" t="s">
        <v>166</v>
      </c>
      <c r="I4" s="18" t="s">
        <v>167</v>
      </c>
      <c r="J4" s="18" t="s">
        <v>166</v>
      </c>
      <c r="K4" s="18" t="s">
        <v>166</v>
      </c>
      <c r="L4" s="18" t="s">
        <v>167</v>
      </c>
      <c r="M4" s="18" t="s">
        <v>167</v>
      </c>
      <c r="N4" s="18" t="s">
        <v>167</v>
      </c>
      <c r="O4" s="18" t="s">
        <v>167</v>
      </c>
      <c r="P4" s="18" t="s">
        <v>167</v>
      </c>
      <c r="Q4" s="18" t="s">
        <v>167</v>
      </c>
      <c r="R4" s="18" t="s">
        <v>167</v>
      </c>
      <c r="S4" s="18" t="s">
        <v>167</v>
      </c>
      <c r="T4" s="18" t="s">
        <v>167</v>
      </c>
      <c r="U4" s="18" t="s">
        <v>167</v>
      </c>
      <c r="V4" s="18" t="s">
        <v>167</v>
      </c>
      <c r="W4" s="18" t="s">
        <v>167</v>
      </c>
      <c r="X4" s="18" t="s">
        <v>167</v>
      </c>
      <c r="Y4" s="18" t="s">
        <v>167</v>
      </c>
      <c r="Z4" s="18" t="s">
        <v>167</v>
      </c>
      <c r="AA4" s="18" t="s">
        <v>167</v>
      </c>
      <c r="AB4" s="18" t="s">
        <v>167</v>
      </c>
      <c r="AC4" s="18" t="s">
        <v>167</v>
      </c>
      <c r="AD4" s="18" t="s">
        <v>167</v>
      </c>
      <c r="AE4" s="18" t="s">
        <v>166</v>
      </c>
      <c r="AF4" s="18" t="s">
        <v>167</v>
      </c>
    </row>
    <row r="5" spans="1:32" x14ac:dyDescent="0.15">
      <c r="B5" s="16" t="s">
        <v>168</v>
      </c>
      <c r="C5" s="16" t="s">
        <v>169</v>
      </c>
      <c r="D5" s="16" t="s">
        <v>170</v>
      </c>
      <c r="E5" s="16" t="s">
        <v>171</v>
      </c>
      <c r="F5" s="16" t="s">
        <v>172</v>
      </c>
      <c r="G5" s="16" t="s">
        <v>173</v>
      </c>
      <c r="H5" s="16" t="s">
        <v>174</v>
      </c>
      <c r="I5" s="16" t="s">
        <v>175</v>
      </c>
      <c r="J5" s="16" t="s">
        <v>176</v>
      </c>
      <c r="K5" s="16" t="s">
        <v>177</v>
      </c>
      <c r="L5" s="16" t="s">
        <v>178</v>
      </c>
      <c r="M5" s="16" t="s">
        <v>179</v>
      </c>
      <c r="N5" s="16" t="s">
        <v>180</v>
      </c>
      <c r="O5" s="16" t="s">
        <v>181</v>
      </c>
      <c r="P5" s="16" t="s">
        <v>182</v>
      </c>
      <c r="Q5" s="16" t="s">
        <v>183</v>
      </c>
      <c r="R5" s="16" t="s">
        <v>184</v>
      </c>
      <c r="S5" s="16" t="s">
        <v>185</v>
      </c>
      <c r="T5" s="16" t="s">
        <v>186</v>
      </c>
      <c r="U5" s="16" t="s">
        <v>187</v>
      </c>
      <c r="V5" s="16" t="s">
        <v>188</v>
      </c>
      <c r="W5" s="16" t="s">
        <v>189</v>
      </c>
      <c r="X5" s="16" t="s">
        <v>190</v>
      </c>
      <c r="Y5" s="16" t="s">
        <v>191</v>
      </c>
      <c r="Z5" s="16" t="s">
        <v>192</v>
      </c>
      <c r="AA5" s="16" t="s">
        <v>193</v>
      </c>
      <c r="AB5" s="16" t="s">
        <v>194</v>
      </c>
      <c r="AC5" s="16" t="s">
        <v>195</v>
      </c>
      <c r="AD5" s="16" t="s">
        <v>196</v>
      </c>
      <c r="AE5" s="16" t="s">
        <v>197</v>
      </c>
      <c r="AF5" s="16" t="s">
        <v>198</v>
      </c>
    </row>
    <row r="6" spans="1:32" x14ac:dyDescent="0.15">
      <c r="B6" s="18" t="s">
        <v>77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9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</row>
    <row r="7" spans="1:32" x14ac:dyDescent="0.15">
      <c r="A7" t="s">
        <v>131</v>
      </c>
      <c r="B7" t="s">
        <v>199</v>
      </c>
      <c r="C7">
        <v>1000</v>
      </c>
      <c r="D7">
        <v>0</v>
      </c>
      <c r="E7">
        <v>0</v>
      </c>
      <c r="F7">
        <v>0</v>
      </c>
      <c r="G7">
        <v>1000</v>
      </c>
      <c r="H7">
        <v>1000</v>
      </c>
      <c r="I7">
        <v>0</v>
      </c>
      <c r="J7">
        <v>100</v>
      </c>
      <c r="K7">
        <v>0</v>
      </c>
      <c r="L7">
        <v>0</v>
      </c>
      <c r="M7">
        <v>0.5</v>
      </c>
      <c r="N7">
        <v>1.2</v>
      </c>
      <c r="O7">
        <v>1.5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1</v>
      </c>
      <c r="AF7">
        <v>0</v>
      </c>
    </row>
    <row r="8" spans="1:32" x14ac:dyDescent="0.15">
      <c r="A8" t="s">
        <v>131</v>
      </c>
      <c r="B8" t="s">
        <v>200</v>
      </c>
      <c r="C8">
        <v>1100</v>
      </c>
      <c r="D8">
        <v>0</v>
      </c>
      <c r="E8">
        <v>0</v>
      </c>
      <c r="F8">
        <v>0</v>
      </c>
      <c r="G8">
        <v>1000</v>
      </c>
      <c r="H8">
        <v>1000</v>
      </c>
      <c r="I8">
        <v>0</v>
      </c>
      <c r="J8">
        <v>100</v>
      </c>
      <c r="K8">
        <v>0</v>
      </c>
      <c r="L8">
        <v>0</v>
      </c>
      <c r="M8">
        <v>0.5</v>
      </c>
      <c r="N8">
        <v>1.2</v>
      </c>
      <c r="O8">
        <v>1.5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1</v>
      </c>
      <c r="AA8">
        <v>0</v>
      </c>
      <c r="AB8">
        <v>0</v>
      </c>
      <c r="AC8">
        <v>0</v>
      </c>
      <c r="AD8">
        <v>1</v>
      </c>
      <c r="AE8">
        <v>1</v>
      </c>
      <c r="AF8">
        <v>0</v>
      </c>
    </row>
    <row r="9" spans="1:32" x14ac:dyDescent="0.15">
      <c r="A9" t="s">
        <v>131</v>
      </c>
      <c r="B9" t="s">
        <v>201</v>
      </c>
      <c r="C9">
        <v>1200</v>
      </c>
      <c r="D9">
        <v>0</v>
      </c>
      <c r="E9">
        <v>0</v>
      </c>
      <c r="F9">
        <v>0</v>
      </c>
      <c r="G9">
        <v>1000</v>
      </c>
      <c r="H9">
        <v>1000</v>
      </c>
      <c r="I9">
        <v>0</v>
      </c>
      <c r="J9">
        <v>100</v>
      </c>
      <c r="K9">
        <v>0</v>
      </c>
      <c r="L9">
        <v>0</v>
      </c>
      <c r="M9">
        <v>0.5</v>
      </c>
      <c r="N9">
        <v>1.2</v>
      </c>
      <c r="O9">
        <v>1.5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1</v>
      </c>
      <c r="AF9">
        <v>0</v>
      </c>
    </row>
    <row r="10" spans="1:32" x14ac:dyDescent="0.15">
      <c r="A10" t="s">
        <v>131</v>
      </c>
      <c r="B10" t="s">
        <v>202</v>
      </c>
      <c r="C10">
        <v>1300</v>
      </c>
      <c r="D10">
        <v>0</v>
      </c>
      <c r="E10">
        <v>0</v>
      </c>
      <c r="F10">
        <v>0</v>
      </c>
      <c r="G10">
        <v>1000</v>
      </c>
      <c r="H10">
        <v>1000</v>
      </c>
      <c r="I10">
        <v>0</v>
      </c>
      <c r="J10">
        <v>100</v>
      </c>
      <c r="K10">
        <v>0</v>
      </c>
      <c r="L10">
        <v>0</v>
      </c>
      <c r="M10">
        <v>0.5</v>
      </c>
      <c r="N10">
        <v>1.2</v>
      </c>
      <c r="O10">
        <v>1.5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0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1CDB9-D386-458F-BF98-3C1432CE95D9}">
  <sheetPr>
    <tabColor theme="2"/>
  </sheetPr>
  <dimension ref="A1:V11"/>
  <sheetViews>
    <sheetView workbookViewId="0">
      <selection activeCell="B1" sqref="B1"/>
    </sheetView>
  </sheetViews>
  <sheetFormatPr defaultRowHeight="13.5" x14ac:dyDescent="0.15"/>
  <sheetData>
    <row r="1" spans="1:22" s="14" customFormat="1" x14ac:dyDescent="0.15">
      <c r="A1" s="20" t="s">
        <v>203</v>
      </c>
      <c r="B1" s="21"/>
      <c r="C1" s="21"/>
      <c r="D1" s="21"/>
      <c r="E1" s="21"/>
      <c r="F1" s="21"/>
      <c r="H1" s="21"/>
      <c r="I1" s="21"/>
      <c r="J1" s="21"/>
      <c r="K1" s="21"/>
      <c r="L1" s="21"/>
      <c r="M1" s="21"/>
      <c r="N1" s="21"/>
    </row>
    <row r="2" spans="1:22" s="14" customFormat="1" ht="14.25" x14ac:dyDescent="0.2">
      <c r="A2" s="22" t="s">
        <v>74</v>
      </c>
      <c r="B2" s="10" t="s">
        <v>204</v>
      </c>
      <c r="C2" s="10" t="s">
        <v>205</v>
      </c>
      <c r="D2" s="10" t="s">
        <v>206</v>
      </c>
      <c r="E2" s="10" t="s">
        <v>207</v>
      </c>
      <c r="F2" s="10" t="s">
        <v>208</v>
      </c>
      <c r="G2" s="10" t="s">
        <v>209</v>
      </c>
      <c r="H2" s="10" t="s">
        <v>210</v>
      </c>
      <c r="I2" s="10" t="s">
        <v>211</v>
      </c>
      <c r="J2" s="10" t="s">
        <v>212</v>
      </c>
      <c r="K2" s="10" t="s">
        <v>213</v>
      </c>
      <c r="L2" s="10" t="s">
        <v>214</v>
      </c>
      <c r="M2" s="10" t="s">
        <v>215</v>
      </c>
      <c r="N2" s="10" t="s">
        <v>216</v>
      </c>
      <c r="O2" s="10" t="s">
        <v>217</v>
      </c>
      <c r="P2" s="10" t="s">
        <v>218</v>
      </c>
      <c r="Q2" s="10" t="s">
        <v>219</v>
      </c>
      <c r="R2" s="10" t="s">
        <v>220</v>
      </c>
      <c r="S2" s="10" t="s">
        <v>221</v>
      </c>
      <c r="T2" s="10" t="s">
        <v>222</v>
      </c>
      <c r="U2" s="10" t="s">
        <v>223</v>
      </c>
      <c r="V2" s="10" t="s">
        <v>224</v>
      </c>
    </row>
    <row r="3" spans="1:22" s="14" customFormat="1" x14ac:dyDescent="0.15">
      <c r="A3" s="21"/>
      <c r="B3" s="11" t="s">
        <v>165</v>
      </c>
      <c r="C3" s="11" t="s">
        <v>165</v>
      </c>
      <c r="D3" s="11" t="s">
        <v>225</v>
      </c>
      <c r="E3" s="11" t="s">
        <v>165</v>
      </c>
      <c r="F3" s="11" t="s">
        <v>165</v>
      </c>
      <c r="G3" s="11" t="s">
        <v>165</v>
      </c>
      <c r="H3" s="11" t="s">
        <v>165</v>
      </c>
      <c r="I3" s="11" t="s">
        <v>165</v>
      </c>
      <c r="J3" s="11" t="s">
        <v>165</v>
      </c>
      <c r="K3" s="11" t="s">
        <v>165</v>
      </c>
      <c r="L3" s="11" t="s">
        <v>165</v>
      </c>
      <c r="M3" s="11" t="s">
        <v>226</v>
      </c>
      <c r="N3" s="11" t="s">
        <v>80</v>
      </c>
      <c r="O3" s="11" t="s">
        <v>165</v>
      </c>
      <c r="P3" s="11" t="s">
        <v>226</v>
      </c>
      <c r="Q3" s="11" t="s">
        <v>165</v>
      </c>
      <c r="R3" s="11" t="s">
        <v>165</v>
      </c>
      <c r="S3" s="11" t="s">
        <v>165</v>
      </c>
      <c r="T3" s="11" t="s">
        <v>165</v>
      </c>
      <c r="U3" s="11" t="s">
        <v>226</v>
      </c>
      <c r="V3" s="11" t="s">
        <v>226</v>
      </c>
    </row>
    <row r="4" spans="1:22" s="14" customFormat="1" x14ac:dyDescent="0.15">
      <c r="A4" s="21"/>
      <c r="B4" s="8" t="s">
        <v>227</v>
      </c>
      <c r="C4" s="8" t="s">
        <v>227</v>
      </c>
      <c r="D4" s="8" t="s">
        <v>227</v>
      </c>
      <c r="E4" s="8" t="s">
        <v>228</v>
      </c>
      <c r="F4" s="8" t="s">
        <v>228</v>
      </c>
      <c r="G4" s="8" t="s">
        <v>166</v>
      </c>
      <c r="H4" s="8" t="s">
        <v>229</v>
      </c>
      <c r="I4" s="8" t="s">
        <v>230</v>
      </c>
      <c r="J4" s="8" t="s">
        <v>229</v>
      </c>
      <c r="K4" s="8" t="s">
        <v>231</v>
      </c>
      <c r="L4" s="8" t="s">
        <v>227</v>
      </c>
      <c r="M4" s="8" t="s">
        <v>227</v>
      </c>
      <c r="N4" s="8" t="s">
        <v>76</v>
      </c>
      <c r="O4" s="8" t="s">
        <v>227</v>
      </c>
      <c r="P4" s="8" t="s">
        <v>227</v>
      </c>
      <c r="Q4" s="8" t="s">
        <v>227</v>
      </c>
      <c r="R4" s="8" t="s">
        <v>227</v>
      </c>
      <c r="S4" s="8" t="s">
        <v>227</v>
      </c>
      <c r="T4" s="8" t="s">
        <v>227</v>
      </c>
      <c r="U4" s="8" t="s">
        <v>227</v>
      </c>
      <c r="V4" s="8" t="s">
        <v>232</v>
      </c>
    </row>
    <row r="5" spans="1:22" s="14" customFormat="1" x14ac:dyDescent="0.15">
      <c r="B5" s="11" t="s">
        <v>168</v>
      </c>
      <c r="C5" s="11" t="s">
        <v>233</v>
      </c>
      <c r="D5" s="11" t="s">
        <v>234</v>
      </c>
      <c r="E5" s="11" t="s">
        <v>235</v>
      </c>
      <c r="F5" s="11" t="s">
        <v>236</v>
      </c>
      <c r="G5" s="11" t="s">
        <v>237</v>
      </c>
      <c r="H5" s="11" t="s">
        <v>238</v>
      </c>
      <c r="I5" s="11" t="s">
        <v>239</v>
      </c>
      <c r="J5" s="11" t="s">
        <v>240</v>
      </c>
      <c r="K5" s="11" t="s">
        <v>241</v>
      </c>
      <c r="L5" s="11" t="s">
        <v>242</v>
      </c>
      <c r="M5" s="11" t="s">
        <v>243</v>
      </c>
      <c r="N5" s="11" t="s">
        <v>244</v>
      </c>
      <c r="O5" s="11" t="s">
        <v>245</v>
      </c>
      <c r="P5" s="11" t="s">
        <v>246</v>
      </c>
      <c r="Q5" s="11" t="s">
        <v>247</v>
      </c>
      <c r="R5" s="11" t="s">
        <v>248</v>
      </c>
      <c r="S5" s="11" t="s">
        <v>249</v>
      </c>
      <c r="T5" s="11" t="s">
        <v>250</v>
      </c>
      <c r="U5" s="11" t="s">
        <v>251</v>
      </c>
      <c r="V5" s="11" t="s">
        <v>252</v>
      </c>
    </row>
    <row r="6" spans="1:22" s="14" customFormat="1" x14ac:dyDescent="0.15">
      <c r="B6" s="8" t="s">
        <v>77</v>
      </c>
      <c r="C6" s="8"/>
      <c r="D6" s="8" t="s">
        <v>253</v>
      </c>
      <c r="E6" s="8"/>
      <c r="F6" s="8"/>
      <c r="G6" s="8"/>
      <c r="H6" s="8"/>
      <c r="I6" s="8"/>
      <c r="J6" s="8"/>
      <c r="K6" s="8"/>
      <c r="L6" s="8" t="s">
        <v>254</v>
      </c>
      <c r="M6" s="8" t="s">
        <v>255</v>
      </c>
      <c r="N6" s="8" t="s">
        <v>255</v>
      </c>
      <c r="O6" s="8"/>
      <c r="P6" s="8"/>
      <c r="Q6" s="8" t="s">
        <v>256</v>
      </c>
      <c r="R6" s="8" t="s">
        <v>256</v>
      </c>
      <c r="S6" s="8"/>
      <c r="T6" s="8"/>
      <c r="U6" s="8"/>
      <c r="V6" s="8"/>
    </row>
    <row r="7" spans="1:22" s="9" customFormat="1" x14ac:dyDescent="0.15">
      <c r="A7" t="s">
        <v>131</v>
      </c>
      <c r="B7" s="9" t="s">
        <v>270</v>
      </c>
      <c r="C7" s="9" t="s">
        <v>271</v>
      </c>
      <c r="D7" s="9" t="s">
        <v>272</v>
      </c>
      <c r="E7" s="9">
        <v>240</v>
      </c>
      <c r="F7" s="9">
        <v>7200</v>
      </c>
      <c r="G7" s="9">
        <v>10</v>
      </c>
      <c r="J7" s="21" t="s">
        <v>257</v>
      </c>
      <c r="K7" s="21" t="s">
        <v>258</v>
      </c>
      <c r="N7" s="9" t="s">
        <v>273</v>
      </c>
      <c r="Q7" s="9" t="s">
        <v>274</v>
      </c>
      <c r="R7" s="9" t="s">
        <v>275</v>
      </c>
      <c r="T7" s="9" t="s">
        <v>259</v>
      </c>
    </row>
    <row r="8" spans="1:22" s="9" customFormat="1" x14ac:dyDescent="0.15">
      <c r="A8" t="s">
        <v>131</v>
      </c>
      <c r="B8" s="9" t="s">
        <v>271</v>
      </c>
      <c r="C8" s="9" t="s">
        <v>276</v>
      </c>
      <c r="D8" s="9" t="s">
        <v>272</v>
      </c>
      <c r="E8" s="9">
        <v>300</v>
      </c>
      <c r="F8" s="9">
        <v>8000</v>
      </c>
      <c r="G8" s="9">
        <v>11</v>
      </c>
      <c r="H8" s="21" t="s">
        <v>257</v>
      </c>
      <c r="I8" s="21" t="s">
        <v>260</v>
      </c>
      <c r="J8" s="21" t="s">
        <v>257</v>
      </c>
      <c r="K8" s="21" t="s">
        <v>261</v>
      </c>
      <c r="L8" s="9" t="s">
        <v>277</v>
      </c>
      <c r="Q8" s="9" t="s">
        <v>274</v>
      </c>
      <c r="R8" s="9" t="s">
        <v>275</v>
      </c>
      <c r="T8" s="9" t="s">
        <v>259</v>
      </c>
      <c r="V8" s="9" t="s">
        <v>262</v>
      </c>
    </row>
    <row r="9" spans="1:22" s="9" customFormat="1" x14ac:dyDescent="0.15">
      <c r="A9" t="s">
        <v>131</v>
      </c>
      <c r="B9" s="9" t="s">
        <v>276</v>
      </c>
      <c r="C9" s="9" t="s">
        <v>278</v>
      </c>
      <c r="D9" s="9" t="s">
        <v>272</v>
      </c>
      <c r="E9" s="9">
        <v>360</v>
      </c>
      <c r="F9" s="9">
        <v>8800</v>
      </c>
      <c r="G9" s="9">
        <v>12</v>
      </c>
      <c r="H9" s="21" t="s">
        <v>257</v>
      </c>
      <c r="I9" s="21" t="s">
        <v>263</v>
      </c>
      <c r="J9" s="21" t="s">
        <v>257</v>
      </c>
      <c r="K9" s="21" t="s">
        <v>264</v>
      </c>
      <c r="M9" s="9" t="s">
        <v>279</v>
      </c>
      <c r="P9" s="9" t="s">
        <v>265</v>
      </c>
      <c r="Q9" s="9" t="s">
        <v>274</v>
      </c>
      <c r="R9" s="9" t="s">
        <v>275</v>
      </c>
      <c r="S9" s="9" t="s">
        <v>280</v>
      </c>
      <c r="T9" s="9" t="s">
        <v>259</v>
      </c>
      <c r="V9" s="9" t="s">
        <v>262</v>
      </c>
    </row>
    <row r="10" spans="1:22" s="9" customFormat="1" x14ac:dyDescent="0.15">
      <c r="A10" t="s">
        <v>131</v>
      </c>
      <c r="B10" s="9" t="s">
        <v>278</v>
      </c>
      <c r="C10" s="9" t="s">
        <v>281</v>
      </c>
      <c r="D10" s="9" t="s">
        <v>272</v>
      </c>
      <c r="E10" s="9">
        <v>420</v>
      </c>
      <c r="F10" s="9">
        <v>9600</v>
      </c>
      <c r="G10" s="9">
        <v>13</v>
      </c>
      <c r="H10" s="21" t="s">
        <v>257</v>
      </c>
      <c r="I10" s="21" t="s">
        <v>266</v>
      </c>
      <c r="J10" s="21" t="s">
        <v>257</v>
      </c>
      <c r="K10" s="21" t="s">
        <v>267</v>
      </c>
      <c r="M10" s="9" t="s">
        <v>279</v>
      </c>
      <c r="O10" s="9" t="s">
        <v>282</v>
      </c>
      <c r="P10" s="9" t="s">
        <v>265</v>
      </c>
      <c r="Q10" s="9" t="s">
        <v>274</v>
      </c>
      <c r="R10" s="9" t="s">
        <v>275</v>
      </c>
      <c r="S10" s="9" t="s">
        <v>280</v>
      </c>
      <c r="T10" s="9" t="s">
        <v>259</v>
      </c>
      <c r="U10"/>
      <c r="V10" s="9" t="s">
        <v>262</v>
      </c>
    </row>
    <row r="11" spans="1:22" s="9" customFormat="1" x14ac:dyDescent="0.15">
      <c r="A11" t="s">
        <v>131</v>
      </c>
      <c r="B11" s="9" t="s">
        <v>281</v>
      </c>
      <c r="D11" s="9" t="s">
        <v>272</v>
      </c>
      <c r="H11" s="21" t="s">
        <v>257</v>
      </c>
      <c r="I11" s="21" t="s">
        <v>268</v>
      </c>
      <c r="J11" s="21" t="s">
        <v>257</v>
      </c>
      <c r="K11" s="21" t="s">
        <v>269</v>
      </c>
      <c r="M11" s="9" t="s">
        <v>279</v>
      </c>
      <c r="P11" s="9" t="s">
        <v>265</v>
      </c>
      <c r="Q11" s="9" t="s">
        <v>274</v>
      </c>
      <c r="R11" s="9" t="s">
        <v>275</v>
      </c>
      <c r="S11" s="9" t="s">
        <v>280</v>
      </c>
      <c r="T11" s="9" t="s">
        <v>259</v>
      </c>
      <c r="U11" s="23"/>
      <c r="V11" s="9" t="s">
        <v>262</v>
      </c>
    </row>
  </sheetData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A7F94-7480-409B-8C2D-05C013C5C09E}">
  <sheetPr>
    <tabColor theme="2"/>
  </sheetPr>
  <dimension ref="A1:AI10"/>
  <sheetViews>
    <sheetView workbookViewId="0">
      <selection activeCell="J32" sqref="J32"/>
    </sheetView>
  </sheetViews>
  <sheetFormatPr defaultRowHeight="13.5" x14ac:dyDescent="0.15"/>
  <sheetData>
    <row r="1" spans="1:35" s="14" customFormat="1" x14ac:dyDescent="0.15">
      <c r="A1" s="14" t="s">
        <v>283</v>
      </c>
      <c r="B1" s="9"/>
      <c r="M1" s="24"/>
      <c r="X1" s="24"/>
    </row>
    <row r="2" spans="1:35" s="14" customFormat="1" x14ac:dyDescent="0.15">
      <c r="A2" s="14" t="s">
        <v>74</v>
      </c>
      <c r="B2" s="15" t="s">
        <v>284</v>
      </c>
      <c r="C2" s="15" t="s">
        <v>285</v>
      </c>
      <c r="D2" s="15" t="s">
        <v>286</v>
      </c>
      <c r="E2" s="15" t="s">
        <v>287</v>
      </c>
      <c r="F2" s="15" t="s">
        <v>288</v>
      </c>
      <c r="G2" s="10" t="s">
        <v>289</v>
      </c>
      <c r="H2" s="10" t="s">
        <v>290</v>
      </c>
      <c r="I2" s="10" t="s">
        <v>291</v>
      </c>
      <c r="J2" s="10" t="s">
        <v>292</v>
      </c>
      <c r="K2" s="15" t="s">
        <v>293</v>
      </c>
      <c r="L2" s="10" t="s">
        <v>294</v>
      </c>
      <c r="M2" s="15" t="s">
        <v>295</v>
      </c>
      <c r="N2" s="15" t="s">
        <v>296</v>
      </c>
      <c r="O2" s="15" t="s">
        <v>297</v>
      </c>
      <c r="P2" s="15" t="s">
        <v>298</v>
      </c>
      <c r="Q2" s="15" t="s">
        <v>299</v>
      </c>
      <c r="R2" s="15" t="s">
        <v>300</v>
      </c>
      <c r="S2" s="15" t="s">
        <v>301</v>
      </c>
      <c r="T2" s="15" t="s">
        <v>302</v>
      </c>
      <c r="U2" s="15" t="s">
        <v>303</v>
      </c>
      <c r="V2" s="15" t="s">
        <v>304</v>
      </c>
      <c r="W2" s="15" t="s">
        <v>305</v>
      </c>
      <c r="X2" s="10" t="s">
        <v>306</v>
      </c>
      <c r="Y2" s="10" t="s">
        <v>307</v>
      </c>
      <c r="Z2" s="10" t="s">
        <v>308</v>
      </c>
      <c r="AA2" s="10" t="s">
        <v>309</v>
      </c>
      <c r="AB2" s="11" t="s">
        <v>310</v>
      </c>
      <c r="AC2" s="15" t="s">
        <v>311</v>
      </c>
      <c r="AD2" s="10" t="s">
        <v>312</v>
      </c>
      <c r="AE2" s="15" t="s">
        <v>313</v>
      </c>
    </row>
    <row r="3" spans="1:35" s="14" customFormat="1" x14ac:dyDescent="0.15">
      <c r="B3" s="16" t="s">
        <v>165</v>
      </c>
      <c r="C3" s="16" t="s">
        <v>165</v>
      </c>
      <c r="D3" s="16" t="s">
        <v>75</v>
      </c>
      <c r="E3" s="16" t="s">
        <v>165</v>
      </c>
      <c r="F3" s="16" t="s">
        <v>80</v>
      </c>
      <c r="G3" s="11" t="s">
        <v>165</v>
      </c>
      <c r="H3" s="11" t="s">
        <v>165</v>
      </c>
      <c r="I3" s="11" t="s">
        <v>165</v>
      </c>
      <c r="J3" s="11" t="s">
        <v>165</v>
      </c>
      <c r="K3" s="16" t="s">
        <v>165</v>
      </c>
      <c r="L3" s="11" t="s">
        <v>165</v>
      </c>
      <c r="M3" s="16" t="s">
        <v>165</v>
      </c>
      <c r="N3" s="16" t="s">
        <v>165</v>
      </c>
      <c r="O3" s="16" t="s">
        <v>165</v>
      </c>
      <c r="P3" s="16" t="s">
        <v>165</v>
      </c>
      <c r="Q3" s="16" t="s">
        <v>165</v>
      </c>
      <c r="R3" s="16" t="s">
        <v>165</v>
      </c>
      <c r="S3" s="16" t="s">
        <v>165</v>
      </c>
      <c r="T3" s="16" t="s">
        <v>165</v>
      </c>
      <c r="U3" s="16" t="s">
        <v>165</v>
      </c>
      <c r="V3" s="16" t="s">
        <v>165</v>
      </c>
      <c r="W3" s="16" t="s">
        <v>165</v>
      </c>
      <c r="X3" s="11" t="s">
        <v>165</v>
      </c>
      <c r="Y3" s="11" t="s">
        <v>165</v>
      </c>
      <c r="Z3" s="11" t="s">
        <v>225</v>
      </c>
      <c r="AA3" s="11" t="s">
        <v>80</v>
      </c>
      <c r="AB3" s="11" t="s">
        <v>314</v>
      </c>
      <c r="AC3" s="16" t="s">
        <v>80</v>
      </c>
      <c r="AD3" s="11" t="s">
        <v>165</v>
      </c>
      <c r="AE3" s="16" t="s">
        <v>80</v>
      </c>
    </row>
    <row r="4" spans="1:35" s="14" customFormat="1" x14ac:dyDescent="0.15">
      <c r="B4" s="18" t="s">
        <v>76</v>
      </c>
      <c r="C4" s="18" t="s">
        <v>76</v>
      </c>
      <c r="D4" s="18" t="s">
        <v>75</v>
      </c>
      <c r="E4" s="8" t="s">
        <v>166</v>
      </c>
      <c r="F4" s="18" t="s">
        <v>76</v>
      </c>
      <c r="G4" s="8" t="s">
        <v>166</v>
      </c>
      <c r="H4" s="8" t="s">
        <v>76</v>
      </c>
      <c r="I4" s="8" t="s">
        <v>166</v>
      </c>
      <c r="J4" s="8" t="s">
        <v>76</v>
      </c>
      <c r="K4" s="18" t="s">
        <v>76</v>
      </c>
      <c r="L4" s="8" t="s">
        <v>76</v>
      </c>
      <c r="M4" s="18" t="s">
        <v>76</v>
      </c>
      <c r="N4" s="18" t="s">
        <v>76</v>
      </c>
      <c r="O4" s="18" t="s">
        <v>76</v>
      </c>
      <c r="P4" s="18" t="s">
        <v>76</v>
      </c>
      <c r="Q4" s="18" t="s">
        <v>229</v>
      </c>
      <c r="R4" s="18" t="s">
        <v>230</v>
      </c>
      <c r="S4" s="18" t="s">
        <v>76</v>
      </c>
      <c r="T4" s="18" t="s">
        <v>229</v>
      </c>
      <c r="U4" s="18" t="s">
        <v>231</v>
      </c>
      <c r="V4" s="18" t="s">
        <v>229</v>
      </c>
      <c r="W4" s="18" t="s">
        <v>231</v>
      </c>
      <c r="X4" s="8" t="s">
        <v>166</v>
      </c>
      <c r="Y4" s="8" t="s">
        <v>76</v>
      </c>
      <c r="Z4" s="8" t="s">
        <v>315</v>
      </c>
      <c r="AA4" s="8" t="s">
        <v>76</v>
      </c>
      <c r="AB4" s="8" t="s">
        <v>229</v>
      </c>
      <c r="AC4" s="8" t="s">
        <v>316</v>
      </c>
      <c r="AD4" s="18" t="s">
        <v>316</v>
      </c>
      <c r="AE4" s="18" t="s">
        <v>76</v>
      </c>
    </row>
    <row r="5" spans="1:35" s="14" customFormat="1" x14ac:dyDescent="0.15">
      <c r="B5" s="16" t="s">
        <v>81</v>
      </c>
      <c r="C5" s="16" t="s">
        <v>317</v>
      </c>
      <c r="D5" s="16" t="s">
        <v>75</v>
      </c>
      <c r="E5" s="16" t="s">
        <v>318</v>
      </c>
      <c r="F5" s="16" t="s">
        <v>319</v>
      </c>
      <c r="G5" s="11" t="s">
        <v>320</v>
      </c>
      <c r="H5" s="11" t="s">
        <v>321</v>
      </c>
      <c r="I5" s="11" t="s">
        <v>322</v>
      </c>
      <c r="J5" s="11" t="s">
        <v>323</v>
      </c>
      <c r="K5" s="16" t="s">
        <v>324</v>
      </c>
      <c r="L5" s="11" t="s">
        <v>325</v>
      </c>
      <c r="M5" s="16" t="s">
        <v>326</v>
      </c>
      <c r="N5" s="16" t="s">
        <v>327</v>
      </c>
      <c r="O5" s="16" t="s">
        <v>328</v>
      </c>
      <c r="P5" s="16" t="s">
        <v>329</v>
      </c>
      <c r="Q5" s="16" t="s">
        <v>330</v>
      </c>
      <c r="R5" s="16" t="s">
        <v>331</v>
      </c>
      <c r="S5" s="16" t="s">
        <v>332</v>
      </c>
      <c r="T5" s="16" t="s">
        <v>333</v>
      </c>
      <c r="U5" s="16" t="s">
        <v>334</v>
      </c>
      <c r="V5" s="16" t="s">
        <v>335</v>
      </c>
      <c r="W5" s="16" t="s">
        <v>336</v>
      </c>
      <c r="X5" s="11" t="s">
        <v>337</v>
      </c>
      <c r="Y5" s="11" t="s">
        <v>338</v>
      </c>
      <c r="Z5" s="11" t="s">
        <v>339</v>
      </c>
      <c r="AA5" s="11" t="s">
        <v>340</v>
      </c>
      <c r="AB5" s="11" t="s">
        <v>341</v>
      </c>
      <c r="AC5" s="16" t="s">
        <v>342</v>
      </c>
      <c r="AD5" s="11" t="s">
        <v>343</v>
      </c>
      <c r="AE5" s="16" t="s">
        <v>344</v>
      </c>
    </row>
    <row r="6" spans="1:35" s="14" customFormat="1" x14ac:dyDescent="0.15">
      <c r="B6" s="18" t="s">
        <v>77</v>
      </c>
      <c r="C6" s="18" t="s">
        <v>345</v>
      </c>
      <c r="D6" s="18"/>
      <c r="E6" s="18"/>
      <c r="F6" s="18" t="s">
        <v>346</v>
      </c>
      <c r="G6" s="8"/>
      <c r="H6" s="8"/>
      <c r="I6" s="8"/>
      <c r="J6" s="8"/>
      <c r="K6" s="18" t="s">
        <v>347</v>
      </c>
      <c r="L6" s="8" t="s">
        <v>348</v>
      </c>
      <c r="M6" s="18" t="s">
        <v>349</v>
      </c>
      <c r="N6" s="18" t="s">
        <v>349</v>
      </c>
      <c r="O6" s="18" t="s">
        <v>349</v>
      </c>
      <c r="P6" s="18" t="s">
        <v>350</v>
      </c>
      <c r="Q6" s="18" t="s">
        <v>351</v>
      </c>
      <c r="R6" s="18"/>
      <c r="S6" s="18" t="s">
        <v>352</v>
      </c>
      <c r="T6" s="18" t="s">
        <v>351</v>
      </c>
      <c r="U6" s="18"/>
      <c r="V6" s="18" t="s">
        <v>351</v>
      </c>
      <c r="W6" s="18"/>
      <c r="X6" s="8" t="s">
        <v>353</v>
      </c>
      <c r="Y6" s="18" t="s">
        <v>354</v>
      </c>
      <c r="Z6" s="18" t="s">
        <v>355</v>
      </c>
      <c r="AA6" s="8" t="s">
        <v>356</v>
      </c>
      <c r="AB6" s="8" t="s">
        <v>356</v>
      </c>
      <c r="AC6" s="18" t="s">
        <v>357</v>
      </c>
      <c r="AD6" s="8"/>
      <c r="AE6" s="8" t="s">
        <v>356</v>
      </c>
    </row>
    <row r="7" spans="1:35" s="9" customFormat="1" x14ac:dyDescent="0.15">
      <c r="A7" t="s">
        <v>131</v>
      </c>
      <c r="B7" s="9" t="s">
        <v>373</v>
      </c>
      <c r="C7" s="9" t="s">
        <v>82</v>
      </c>
      <c r="D7" s="9" t="s">
        <v>83</v>
      </c>
      <c r="E7" s="9">
        <v>1</v>
      </c>
      <c r="F7" s="9" t="s">
        <v>374</v>
      </c>
      <c r="G7" s="9">
        <v>11</v>
      </c>
      <c r="H7" s="9">
        <v>1</v>
      </c>
      <c r="I7" s="9">
        <v>13</v>
      </c>
      <c r="J7" s="9">
        <v>3</v>
      </c>
      <c r="K7" s="9" t="s">
        <v>375</v>
      </c>
      <c r="L7" s="9" t="s">
        <v>376</v>
      </c>
      <c r="M7" s="9" t="s">
        <v>377</v>
      </c>
      <c r="N7" s="9" t="s">
        <v>378</v>
      </c>
      <c r="O7" s="9" t="s">
        <v>379</v>
      </c>
      <c r="P7" s="9" t="s">
        <v>199</v>
      </c>
      <c r="Q7" s="9" t="s">
        <v>358</v>
      </c>
      <c r="R7" s="9" t="s">
        <v>359</v>
      </c>
      <c r="S7" s="9">
        <v>1001</v>
      </c>
      <c r="T7" s="9" t="s">
        <v>358</v>
      </c>
      <c r="U7" s="9" t="s">
        <v>360</v>
      </c>
      <c r="V7" s="9" t="s">
        <v>358</v>
      </c>
      <c r="W7" s="9" t="s">
        <v>361</v>
      </c>
      <c r="X7" s="9">
        <v>1</v>
      </c>
      <c r="Y7" s="9" t="s">
        <v>362</v>
      </c>
      <c r="Z7" s="9" t="s">
        <v>363</v>
      </c>
      <c r="AA7" s="9" t="s">
        <v>84</v>
      </c>
      <c r="AB7" s="9" t="s">
        <v>380</v>
      </c>
      <c r="AE7" s="9" t="s">
        <v>85</v>
      </c>
    </row>
    <row r="8" spans="1:35" s="9" customFormat="1" x14ac:dyDescent="0.15">
      <c r="A8" t="s">
        <v>131</v>
      </c>
      <c r="B8" s="9" t="s">
        <v>381</v>
      </c>
      <c r="C8" s="9" t="s">
        <v>86</v>
      </c>
      <c r="D8" s="9" t="s">
        <v>87</v>
      </c>
      <c r="E8" s="9">
        <v>1</v>
      </c>
      <c r="F8" s="9" t="s">
        <v>382</v>
      </c>
      <c r="G8" s="9">
        <v>12</v>
      </c>
      <c r="H8" s="9">
        <v>1</v>
      </c>
      <c r="I8" s="9">
        <v>11</v>
      </c>
      <c r="J8" s="9">
        <v>1</v>
      </c>
      <c r="K8" s="9" t="s">
        <v>383</v>
      </c>
      <c r="L8" s="9" t="s">
        <v>384</v>
      </c>
      <c r="M8" s="9" t="s">
        <v>385</v>
      </c>
      <c r="N8" s="9" t="s">
        <v>386</v>
      </c>
      <c r="O8" s="9" t="s">
        <v>387</v>
      </c>
      <c r="P8" s="9" t="s">
        <v>200</v>
      </c>
      <c r="Q8" s="9" t="s">
        <v>358</v>
      </c>
      <c r="R8" s="9" t="s">
        <v>364</v>
      </c>
      <c r="S8" s="9">
        <v>1002</v>
      </c>
      <c r="T8" s="9" t="s">
        <v>358</v>
      </c>
      <c r="U8" s="9" t="s">
        <v>365</v>
      </c>
      <c r="V8" s="9" t="s">
        <v>358</v>
      </c>
      <c r="W8" s="9" t="s">
        <v>366</v>
      </c>
      <c r="X8" s="9">
        <v>1</v>
      </c>
      <c r="Y8" s="9" t="s">
        <v>367</v>
      </c>
      <c r="Z8" s="9" t="s">
        <v>368</v>
      </c>
      <c r="AA8" s="9" t="s">
        <v>88</v>
      </c>
      <c r="AB8" s="9" t="s">
        <v>388</v>
      </c>
      <c r="AE8" s="9" t="s">
        <v>89</v>
      </c>
    </row>
    <row r="9" spans="1:35" s="9" customFormat="1" x14ac:dyDescent="0.15">
      <c r="A9" t="s">
        <v>131</v>
      </c>
      <c r="B9" s="9" t="s">
        <v>389</v>
      </c>
      <c r="C9" s="9" t="s">
        <v>90</v>
      </c>
      <c r="D9" s="9" t="s">
        <v>390</v>
      </c>
      <c r="E9" s="9">
        <v>1</v>
      </c>
      <c r="F9" s="9" t="s">
        <v>391</v>
      </c>
      <c r="G9" s="9">
        <v>13</v>
      </c>
      <c r="H9" s="9">
        <v>2</v>
      </c>
      <c r="I9" s="9">
        <v>14</v>
      </c>
      <c r="J9" s="9">
        <v>1</v>
      </c>
      <c r="K9" s="9" t="s">
        <v>392</v>
      </c>
      <c r="L9" s="9" t="s">
        <v>393</v>
      </c>
      <c r="M9" s="9" t="s">
        <v>394</v>
      </c>
      <c r="N9" s="9" t="s">
        <v>378</v>
      </c>
      <c r="O9" s="9" t="s">
        <v>387</v>
      </c>
      <c r="P9" s="9" t="s">
        <v>201</v>
      </c>
      <c r="Q9" s="9" t="s">
        <v>358</v>
      </c>
      <c r="R9" s="9" t="s">
        <v>359</v>
      </c>
      <c r="S9" s="9">
        <v>1001</v>
      </c>
      <c r="T9" s="9" t="s">
        <v>358</v>
      </c>
      <c r="U9" s="9" t="s">
        <v>360</v>
      </c>
      <c r="V9" s="9" t="s">
        <v>358</v>
      </c>
      <c r="W9" s="9" t="s">
        <v>361</v>
      </c>
      <c r="X9" s="9">
        <v>1</v>
      </c>
      <c r="Y9" s="9" t="s">
        <v>369</v>
      </c>
      <c r="Z9" s="9" t="s">
        <v>370</v>
      </c>
      <c r="AA9" s="9" t="str">
        <f>B9&amp;"_CVName"</f>
        <v>DWZXi_CVName</v>
      </c>
      <c r="AB9" s="9" t="s">
        <v>395</v>
      </c>
      <c r="AE9" s="9" t="s">
        <v>91</v>
      </c>
    </row>
    <row r="10" spans="1:35" s="9" customFormat="1" x14ac:dyDescent="0.15">
      <c r="A10" t="s">
        <v>131</v>
      </c>
      <c r="B10" s="9" t="s">
        <v>396</v>
      </c>
      <c r="C10" s="9" t="s">
        <v>92</v>
      </c>
      <c r="D10" s="9" t="s">
        <v>93</v>
      </c>
      <c r="E10" s="9">
        <v>1</v>
      </c>
      <c r="F10" s="9" t="s">
        <v>397</v>
      </c>
      <c r="G10" s="9">
        <v>14</v>
      </c>
      <c r="H10" s="9">
        <v>1</v>
      </c>
      <c r="I10" s="9">
        <v>15</v>
      </c>
      <c r="J10" s="9">
        <v>7</v>
      </c>
      <c r="K10" s="9" t="s">
        <v>398</v>
      </c>
      <c r="L10" s="9" t="s">
        <v>399</v>
      </c>
      <c r="M10" s="9" t="s">
        <v>400</v>
      </c>
      <c r="N10" s="9" t="s">
        <v>378</v>
      </c>
      <c r="O10" s="9" t="s">
        <v>387</v>
      </c>
      <c r="P10" s="9" t="s">
        <v>202</v>
      </c>
      <c r="Q10" s="9" t="s">
        <v>358</v>
      </c>
      <c r="R10" s="9" t="s">
        <v>364</v>
      </c>
      <c r="S10" s="9">
        <v>1002</v>
      </c>
      <c r="T10" s="9" t="s">
        <v>358</v>
      </c>
      <c r="U10" s="9" t="s">
        <v>365</v>
      </c>
      <c r="V10" s="9" t="s">
        <v>358</v>
      </c>
      <c r="W10" s="9" t="s">
        <v>366</v>
      </c>
      <c r="X10" s="9">
        <v>1</v>
      </c>
      <c r="Y10" s="9" t="s">
        <v>371</v>
      </c>
      <c r="Z10" s="9" t="s">
        <v>372</v>
      </c>
      <c r="AA10" s="9" t="s">
        <v>94</v>
      </c>
      <c r="AB10" s="9" t="s">
        <v>401</v>
      </c>
      <c r="AE10" s="9" t="s">
        <v>95</v>
      </c>
    </row>
  </sheetData>
  <phoneticPr fontId="7" type="noConversion"/>
  <conditionalFormatting sqref="H6">
    <cfRule type="cellIs" dxfId="2" priority="3" stopIfTrue="1" operator="notEqual">
      <formula>INDIRECT("Dummy_for_Comparison2!"&amp;ADDRESS(ROW(),COLUMN()))</formula>
    </cfRule>
  </conditionalFormatting>
  <conditionalFormatting sqref="AA6">
    <cfRule type="cellIs" dxfId="1" priority="2" stopIfTrue="1" operator="notEqual">
      <formula>INDIRECT("Dummy_for_Comparison2!"&amp;ADDRESS(ROW(),COLUMN()))</formula>
    </cfRule>
  </conditionalFormatting>
  <conditionalFormatting sqref="AB6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8832-45FC-42FC-80B2-248E3C29EE64}">
  <sheetPr>
    <tabColor theme="2"/>
  </sheetPr>
  <dimension ref="A1:Z10"/>
  <sheetViews>
    <sheetView workbookViewId="0">
      <selection activeCell="J28" sqref="J28"/>
    </sheetView>
  </sheetViews>
  <sheetFormatPr defaultRowHeight="13.5" x14ac:dyDescent="0.15"/>
  <sheetData>
    <row r="1" spans="1:26" s="14" customFormat="1" x14ac:dyDescent="0.15">
      <c r="A1" s="14" t="s">
        <v>402</v>
      </c>
      <c r="B1" s="9"/>
    </row>
    <row r="2" spans="1:26" s="14" customFormat="1" x14ac:dyDescent="0.15">
      <c r="A2" s="14" t="s">
        <v>74</v>
      </c>
      <c r="B2" s="25" t="s">
        <v>403</v>
      </c>
      <c r="C2" s="25" t="s">
        <v>404</v>
      </c>
      <c r="D2" s="25" t="s">
        <v>405</v>
      </c>
      <c r="E2" s="26" t="s">
        <v>406</v>
      </c>
      <c r="F2" s="25" t="s">
        <v>407</v>
      </c>
      <c r="G2" s="25" t="s">
        <v>408</v>
      </c>
      <c r="H2" s="25" t="s">
        <v>407</v>
      </c>
      <c r="I2" s="26" t="s">
        <v>409</v>
      </c>
      <c r="J2" s="26" t="s">
        <v>410</v>
      </c>
      <c r="K2" s="15" t="s">
        <v>411</v>
      </c>
      <c r="L2" s="10" t="s">
        <v>412</v>
      </c>
      <c r="M2" s="10" t="s">
        <v>79</v>
      </c>
      <c r="N2" s="15" t="s">
        <v>413</v>
      </c>
      <c r="O2" s="15" t="s">
        <v>414</v>
      </c>
      <c r="P2" s="10" t="s">
        <v>415</v>
      </c>
      <c r="Q2" s="10" t="s">
        <v>416</v>
      </c>
      <c r="R2" s="10" t="s">
        <v>417</v>
      </c>
      <c r="S2" s="10" t="s">
        <v>418</v>
      </c>
      <c r="T2" s="15" t="s">
        <v>419</v>
      </c>
      <c r="U2" s="15" t="s">
        <v>420</v>
      </c>
      <c r="V2" s="10" t="s">
        <v>421</v>
      </c>
      <c r="W2" s="10" t="s">
        <v>422</v>
      </c>
      <c r="X2" s="10" t="s">
        <v>423</v>
      </c>
      <c r="Y2" s="10" t="s">
        <v>424</v>
      </c>
      <c r="Z2" s="10" t="s">
        <v>425</v>
      </c>
    </row>
    <row r="3" spans="1:26" s="14" customFormat="1" x14ac:dyDescent="0.15">
      <c r="B3" s="27" t="s">
        <v>426</v>
      </c>
      <c r="C3" s="27" t="s">
        <v>426</v>
      </c>
      <c r="D3" s="27" t="s">
        <v>427</v>
      </c>
      <c r="E3" s="28" t="s">
        <v>80</v>
      </c>
      <c r="F3" s="27" t="s">
        <v>427</v>
      </c>
      <c r="G3" s="27" t="s">
        <v>428</v>
      </c>
      <c r="H3" s="27" t="s">
        <v>427</v>
      </c>
      <c r="I3" s="28" t="s">
        <v>80</v>
      </c>
      <c r="J3" s="28" t="s">
        <v>225</v>
      </c>
      <c r="K3" s="16" t="s">
        <v>426</v>
      </c>
      <c r="L3" s="11" t="s">
        <v>165</v>
      </c>
      <c r="M3" s="11" t="s">
        <v>75</v>
      </c>
      <c r="N3" s="16" t="s">
        <v>426</v>
      </c>
      <c r="O3" s="16" t="s">
        <v>426</v>
      </c>
      <c r="P3" s="11" t="s">
        <v>165</v>
      </c>
      <c r="Q3" s="11" t="s">
        <v>165</v>
      </c>
      <c r="R3" s="11" t="s">
        <v>165</v>
      </c>
      <c r="S3" s="11" t="s">
        <v>165</v>
      </c>
      <c r="T3" s="16" t="s">
        <v>426</v>
      </c>
      <c r="U3" s="16" t="s">
        <v>426</v>
      </c>
      <c r="V3" s="11" t="s">
        <v>165</v>
      </c>
      <c r="W3" s="11" t="s">
        <v>80</v>
      </c>
      <c r="X3" s="11" t="s">
        <v>165</v>
      </c>
      <c r="Y3" s="11" t="s">
        <v>80</v>
      </c>
      <c r="Z3" s="11" t="s">
        <v>165</v>
      </c>
    </row>
    <row r="4" spans="1:26" s="14" customFormat="1" x14ac:dyDescent="0.15">
      <c r="B4" s="29" t="s">
        <v>429</v>
      </c>
      <c r="C4" s="29" t="s">
        <v>429</v>
      </c>
      <c r="D4" s="29" t="s">
        <v>430</v>
      </c>
      <c r="E4" s="30" t="s">
        <v>76</v>
      </c>
      <c r="F4" s="29" t="s">
        <v>430</v>
      </c>
      <c r="G4" s="29" t="s">
        <v>429</v>
      </c>
      <c r="H4" s="29" t="s">
        <v>430</v>
      </c>
      <c r="I4" s="30" t="s">
        <v>166</v>
      </c>
      <c r="J4" s="30" t="s">
        <v>76</v>
      </c>
      <c r="K4" s="18" t="s">
        <v>429</v>
      </c>
      <c r="L4" s="8" t="s">
        <v>76</v>
      </c>
      <c r="M4" s="8" t="s">
        <v>75</v>
      </c>
      <c r="N4" s="18" t="s">
        <v>429</v>
      </c>
      <c r="O4" s="8" t="s">
        <v>166</v>
      </c>
      <c r="P4" s="8" t="s">
        <v>316</v>
      </c>
      <c r="Q4" s="8" t="s">
        <v>166</v>
      </c>
      <c r="R4" s="8" t="s">
        <v>166</v>
      </c>
      <c r="S4" s="8" t="s">
        <v>316</v>
      </c>
      <c r="T4" s="18" t="s">
        <v>429</v>
      </c>
      <c r="U4" s="8" t="s">
        <v>166</v>
      </c>
      <c r="V4" s="8" t="s">
        <v>315</v>
      </c>
      <c r="W4" s="8" t="s">
        <v>166</v>
      </c>
      <c r="X4" s="8" t="s">
        <v>166</v>
      </c>
      <c r="Y4" s="8" t="s">
        <v>166</v>
      </c>
      <c r="Z4" s="8" t="s">
        <v>166</v>
      </c>
    </row>
    <row r="5" spans="1:26" s="14" customFormat="1" x14ac:dyDescent="0.15">
      <c r="B5" s="27" t="s">
        <v>431</v>
      </c>
      <c r="C5" s="27" t="s">
        <v>432</v>
      </c>
      <c r="D5" s="27" t="s">
        <v>433</v>
      </c>
      <c r="E5" s="28" t="s">
        <v>434</v>
      </c>
      <c r="F5" s="27" t="s">
        <v>435</v>
      </c>
      <c r="G5" s="27" t="s">
        <v>436</v>
      </c>
      <c r="H5" s="27" t="s">
        <v>437</v>
      </c>
      <c r="I5" s="28" t="s">
        <v>438</v>
      </c>
      <c r="J5" s="28" t="s">
        <v>439</v>
      </c>
      <c r="K5" s="16" t="s">
        <v>440</v>
      </c>
      <c r="L5" s="11" t="s">
        <v>441</v>
      </c>
      <c r="M5" s="11" t="s">
        <v>442</v>
      </c>
      <c r="N5" s="16" t="s">
        <v>443</v>
      </c>
      <c r="O5" s="16" t="s">
        <v>444</v>
      </c>
      <c r="P5" s="11" t="s">
        <v>445</v>
      </c>
      <c r="Q5" s="16" t="s">
        <v>446</v>
      </c>
      <c r="R5" s="11" t="s">
        <v>447</v>
      </c>
      <c r="S5" s="11" t="s">
        <v>448</v>
      </c>
      <c r="T5" s="16" t="s">
        <v>449</v>
      </c>
      <c r="U5" s="16" t="s">
        <v>450</v>
      </c>
      <c r="V5" s="11" t="s">
        <v>451</v>
      </c>
      <c r="W5" s="11" t="s">
        <v>452</v>
      </c>
      <c r="X5" s="11" t="s">
        <v>453</v>
      </c>
      <c r="Y5" s="11" t="s">
        <v>454</v>
      </c>
      <c r="Z5" s="11" t="s">
        <v>455</v>
      </c>
    </row>
    <row r="6" spans="1:26" s="14" customFormat="1" x14ac:dyDescent="0.15">
      <c r="B6" s="29" t="s">
        <v>456</v>
      </c>
      <c r="C6" s="29" t="s">
        <v>256</v>
      </c>
      <c r="D6" s="29"/>
      <c r="E6" s="30" t="s">
        <v>256</v>
      </c>
      <c r="F6" s="29"/>
      <c r="G6" s="29" t="s">
        <v>256</v>
      </c>
      <c r="H6" s="29"/>
      <c r="I6" s="30"/>
      <c r="J6" s="30"/>
      <c r="K6" s="18"/>
      <c r="L6" s="8" t="s">
        <v>356</v>
      </c>
      <c r="M6" s="8"/>
      <c r="N6" s="18"/>
      <c r="O6" s="18"/>
      <c r="P6" s="29" t="s">
        <v>457</v>
      </c>
      <c r="Q6" s="8"/>
      <c r="R6" s="8"/>
      <c r="S6" s="8" t="s">
        <v>458</v>
      </c>
      <c r="T6" s="18"/>
      <c r="U6" s="18"/>
      <c r="V6" s="8" t="s">
        <v>253</v>
      </c>
      <c r="W6" s="8"/>
      <c r="X6" s="8"/>
      <c r="Y6" s="8"/>
      <c r="Z6" s="8"/>
    </row>
    <row r="7" spans="1:26" s="9" customFormat="1" x14ac:dyDescent="0.15">
      <c r="A7" t="s">
        <v>131</v>
      </c>
      <c r="B7" s="9" t="s">
        <v>375</v>
      </c>
      <c r="C7" s="9" t="s">
        <v>96</v>
      </c>
      <c r="D7" s="9" t="s">
        <v>97</v>
      </c>
      <c r="E7" s="9" t="s">
        <v>98</v>
      </c>
      <c r="F7" s="9" t="s">
        <v>459</v>
      </c>
      <c r="G7" s="9" t="s">
        <v>99</v>
      </c>
      <c r="H7" s="9" t="s">
        <v>100</v>
      </c>
      <c r="I7" s="9">
        <v>1</v>
      </c>
      <c r="J7" s="9">
        <v>6</v>
      </c>
      <c r="K7" s="9">
        <v>6001</v>
      </c>
      <c r="L7" s="9" t="s">
        <v>460</v>
      </c>
      <c r="M7" s="9" t="s">
        <v>293</v>
      </c>
      <c r="N7" s="9" t="s">
        <v>461</v>
      </c>
      <c r="O7" s="9">
        <v>3</v>
      </c>
      <c r="R7" s="9">
        <v>999999</v>
      </c>
      <c r="U7" s="9">
        <v>-1</v>
      </c>
      <c r="V7" s="9" t="s">
        <v>373</v>
      </c>
      <c r="W7" s="9">
        <v>1</v>
      </c>
      <c r="X7" s="9">
        <v>0</v>
      </c>
      <c r="Y7" s="9">
        <v>0</v>
      </c>
      <c r="Z7" s="9">
        <v>60013001</v>
      </c>
    </row>
    <row r="8" spans="1:26" s="9" customFormat="1" x14ac:dyDescent="0.15">
      <c r="A8" t="s">
        <v>131</v>
      </c>
      <c r="B8" s="9" t="s">
        <v>383</v>
      </c>
      <c r="C8" s="9" t="s">
        <v>101</v>
      </c>
      <c r="D8" s="9" t="s">
        <v>102</v>
      </c>
      <c r="E8" s="9" t="s">
        <v>103</v>
      </c>
      <c r="F8" s="9" t="s">
        <v>459</v>
      </c>
      <c r="G8" s="9" t="s">
        <v>104</v>
      </c>
      <c r="H8" s="9" t="s">
        <v>100</v>
      </c>
      <c r="I8" s="9">
        <v>1</v>
      </c>
      <c r="J8" s="9">
        <v>6</v>
      </c>
      <c r="K8" s="9">
        <v>6001</v>
      </c>
      <c r="L8" s="9" t="s">
        <v>460</v>
      </c>
      <c r="M8" s="9" t="s">
        <v>293</v>
      </c>
      <c r="N8" s="9" t="s">
        <v>461</v>
      </c>
      <c r="O8" s="9">
        <v>4</v>
      </c>
      <c r="R8" s="9">
        <v>999999</v>
      </c>
      <c r="U8" s="9">
        <v>-1</v>
      </c>
      <c r="V8" s="9" t="s">
        <v>381</v>
      </c>
      <c r="W8" s="9">
        <v>1</v>
      </c>
      <c r="X8" s="9">
        <v>0</v>
      </c>
      <c r="Y8" s="9">
        <v>0</v>
      </c>
      <c r="Z8" s="9">
        <v>60014001</v>
      </c>
    </row>
    <row r="9" spans="1:26" s="9" customFormat="1" x14ac:dyDescent="0.15">
      <c r="A9" t="s">
        <v>131</v>
      </c>
      <c r="B9" s="9" t="s">
        <v>392</v>
      </c>
      <c r="C9" s="9" t="s">
        <v>105</v>
      </c>
      <c r="D9" s="9" t="s">
        <v>106</v>
      </c>
      <c r="E9" s="9" t="s">
        <v>107</v>
      </c>
      <c r="F9" s="9" t="s">
        <v>459</v>
      </c>
      <c r="G9" s="9" t="s">
        <v>108</v>
      </c>
      <c r="H9" s="9" t="s">
        <v>100</v>
      </c>
      <c r="I9" s="9">
        <v>1</v>
      </c>
      <c r="J9" s="9">
        <v>6</v>
      </c>
      <c r="K9" s="9">
        <v>6001</v>
      </c>
      <c r="L9" s="9" t="s">
        <v>460</v>
      </c>
      <c r="M9" s="9" t="s">
        <v>293</v>
      </c>
      <c r="N9" s="9" t="s">
        <v>461</v>
      </c>
      <c r="O9" s="9">
        <v>5</v>
      </c>
      <c r="R9" s="9">
        <v>999999</v>
      </c>
      <c r="U9" s="9">
        <v>-1</v>
      </c>
      <c r="V9" s="9" t="s">
        <v>389</v>
      </c>
      <c r="W9" s="9">
        <v>1</v>
      </c>
      <c r="X9" s="9">
        <v>0</v>
      </c>
      <c r="Y9" s="9">
        <v>0</v>
      </c>
      <c r="Z9" s="9">
        <v>60015001</v>
      </c>
    </row>
    <row r="10" spans="1:26" s="9" customFormat="1" x14ac:dyDescent="0.15">
      <c r="A10" t="s">
        <v>131</v>
      </c>
      <c r="B10" s="9" t="s">
        <v>398</v>
      </c>
      <c r="C10" s="9" t="s">
        <v>109</v>
      </c>
      <c r="D10" s="9" t="s">
        <v>110</v>
      </c>
      <c r="E10" s="9" t="s">
        <v>111</v>
      </c>
      <c r="F10" s="9" t="s">
        <v>459</v>
      </c>
      <c r="G10" s="9" t="s">
        <v>112</v>
      </c>
      <c r="H10" s="9" t="s">
        <v>100</v>
      </c>
      <c r="I10" s="9">
        <v>1</v>
      </c>
      <c r="J10" s="9">
        <v>6</v>
      </c>
      <c r="K10" s="9">
        <v>6001</v>
      </c>
      <c r="L10" s="9" t="s">
        <v>460</v>
      </c>
      <c r="M10" s="9" t="s">
        <v>293</v>
      </c>
      <c r="N10" s="9" t="s">
        <v>461</v>
      </c>
      <c r="O10" s="9">
        <v>6</v>
      </c>
      <c r="R10" s="9">
        <v>999999</v>
      </c>
      <c r="U10" s="9">
        <v>-1</v>
      </c>
      <c r="V10" s="9" t="s">
        <v>396</v>
      </c>
      <c r="W10" s="9">
        <v>1</v>
      </c>
      <c r="X10" s="9">
        <v>0</v>
      </c>
      <c r="Y10" s="9">
        <v>0</v>
      </c>
      <c r="Z10" s="9">
        <v>60016001</v>
      </c>
    </row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452A2-30AB-41E9-A8F5-4A25E61A7688}">
  <sheetPr>
    <tabColor theme="7"/>
  </sheetPr>
  <dimension ref="A1:D36"/>
  <sheetViews>
    <sheetView workbookViewId="0">
      <selection activeCell="D27" sqref="D27"/>
    </sheetView>
  </sheetViews>
  <sheetFormatPr defaultRowHeight="13.5" x14ac:dyDescent="0.15"/>
  <cols>
    <col min="2" max="2" width="33.875" bestFit="1" customWidth="1"/>
  </cols>
  <sheetData>
    <row r="1" spans="1:4" x14ac:dyDescent="0.15">
      <c r="A1" s="9" t="s">
        <v>114</v>
      </c>
      <c r="B1" s="9"/>
      <c r="C1" s="9"/>
      <c r="D1" s="9"/>
    </row>
    <row r="2" spans="1:4" x14ac:dyDescent="0.15">
      <c r="A2" s="9" t="s">
        <v>74</v>
      </c>
      <c r="B2" s="10" t="s">
        <v>78</v>
      </c>
      <c r="C2" s="10" t="s">
        <v>115</v>
      </c>
      <c r="D2" s="10" t="s">
        <v>79</v>
      </c>
    </row>
    <row r="3" spans="1:4" x14ac:dyDescent="0.15">
      <c r="A3" s="9"/>
      <c r="B3" s="11" t="s">
        <v>80</v>
      </c>
      <c r="C3" s="11" t="s">
        <v>80</v>
      </c>
      <c r="D3" s="11" t="s">
        <v>75</v>
      </c>
    </row>
    <row r="4" spans="1:4" x14ac:dyDescent="0.15">
      <c r="A4" s="9"/>
      <c r="B4" s="8" t="s">
        <v>76</v>
      </c>
      <c r="C4" s="8" t="s">
        <v>76</v>
      </c>
      <c r="D4" s="8" t="s">
        <v>75</v>
      </c>
    </row>
    <row r="5" spans="1:4" x14ac:dyDescent="0.15">
      <c r="A5" s="9"/>
      <c r="B5" s="11" t="s">
        <v>81</v>
      </c>
      <c r="C5" s="11" t="s">
        <v>116</v>
      </c>
      <c r="D5" s="11" t="s">
        <v>117</v>
      </c>
    </row>
    <row r="6" spans="1:4" x14ac:dyDescent="0.15">
      <c r="A6" s="9"/>
      <c r="B6" s="8" t="s">
        <v>77</v>
      </c>
      <c r="C6" s="8"/>
      <c r="D6" s="8"/>
    </row>
    <row r="7" spans="1:4" s="13" customFormat="1" x14ac:dyDescent="0.15">
      <c r="A7" s="12" t="s">
        <v>131</v>
      </c>
      <c r="B7" s="13" t="s">
        <v>96</v>
      </c>
      <c r="C7" s="13" t="s">
        <v>97</v>
      </c>
    </row>
    <row r="8" spans="1:4" s="13" customFormat="1" x14ac:dyDescent="0.15">
      <c r="A8" s="12" t="s">
        <v>131</v>
      </c>
      <c r="B8" s="13" t="s">
        <v>101</v>
      </c>
      <c r="C8" s="13" t="s">
        <v>102</v>
      </c>
    </row>
    <row r="9" spans="1:4" s="13" customFormat="1" x14ac:dyDescent="0.15">
      <c r="A9" s="12" t="s">
        <v>131</v>
      </c>
      <c r="B9" s="13" t="s">
        <v>105</v>
      </c>
      <c r="C9" s="13" t="s">
        <v>106</v>
      </c>
    </row>
    <row r="10" spans="1:4" s="13" customFormat="1" x14ac:dyDescent="0.15">
      <c r="A10" s="12" t="s">
        <v>131</v>
      </c>
      <c r="B10" s="13" t="s">
        <v>109</v>
      </c>
      <c r="C10" s="13" t="s">
        <v>110</v>
      </c>
    </row>
    <row r="11" spans="1:4" s="13" customFormat="1" x14ac:dyDescent="0.15">
      <c r="A11" s="12" t="s">
        <v>131</v>
      </c>
      <c r="B11" s="13" t="s">
        <v>98</v>
      </c>
      <c r="C11" s="13" t="s">
        <v>130</v>
      </c>
    </row>
    <row r="12" spans="1:4" s="13" customFormat="1" x14ac:dyDescent="0.15">
      <c r="A12" s="12" t="s">
        <v>131</v>
      </c>
      <c r="B12" s="13" t="s">
        <v>103</v>
      </c>
      <c r="C12" s="13" t="s">
        <v>130</v>
      </c>
    </row>
    <row r="13" spans="1:4" s="13" customFormat="1" x14ac:dyDescent="0.15">
      <c r="A13" s="12" t="s">
        <v>131</v>
      </c>
      <c r="B13" s="13" t="s">
        <v>107</v>
      </c>
      <c r="C13" s="13" t="s">
        <v>130</v>
      </c>
    </row>
    <row r="14" spans="1:4" s="13" customFormat="1" x14ac:dyDescent="0.15">
      <c r="A14" s="12" t="s">
        <v>131</v>
      </c>
      <c r="B14" s="13" t="s">
        <v>111</v>
      </c>
      <c r="C14" s="13" t="s">
        <v>130</v>
      </c>
    </row>
    <row r="15" spans="1:4" s="13" customFormat="1" x14ac:dyDescent="0.15">
      <c r="A15" s="12" t="s">
        <v>131</v>
      </c>
      <c r="B15" s="13" t="s">
        <v>99</v>
      </c>
      <c r="C15" s="13" t="s">
        <v>100</v>
      </c>
    </row>
    <row r="16" spans="1:4" s="13" customFormat="1" x14ac:dyDescent="0.15">
      <c r="A16" s="12" t="s">
        <v>131</v>
      </c>
      <c r="B16" s="13" t="s">
        <v>104</v>
      </c>
      <c r="C16" s="13" t="s">
        <v>100</v>
      </c>
    </row>
    <row r="17" spans="1:3" s="13" customFormat="1" x14ac:dyDescent="0.15">
      <c r="A17" s="12" t="s">
        <v>131</v>
      </c>
      <c r="B17" s="13" t="s">
        <v>108</v>
      </c>
      <c r="C17" s="13" t="s">
        <v>100</v>
      </c>
    </row>
    <row r="18" spans="1:3" s="13" customFormat="1" x14ac:dyDescent="0.15">
      <c r="A18" s="12" t="s">
        <v>131</v>
      </c>
      <c r="B18" s="13" t="s">
        <v>112</v>
      </c>
      <c r="C18" s="13" t="s">
        <v>100</v>
      </c>
    </row>
    <row r="19" spans="1:3" s="13" customFormat="1" x14ac:dyDescent="0.15">
      <c r="A19" s="12" t="s">
        <v>131</v>
      </c>
      <c r="B19" s="13" t="s">
        <v>82</v>
      </c>
      <c r="C19" s="13" t="s">
        <v>83</v>
      </c>
    </row>
    <row r="20" spans="1:3" s="13" customFormat="1" x14ac:dyDescent="0.15">
      <c r="A20" s="12" t="s">
        <v>131</v>
      </c>
      <c r="B20" s="13" t="s">
        <v>86</v>
      </c>
      <c r="C20" s="13" t="s">
        <v>87</v>
      </c>
    </row>
    <row r="21" spans="1:3" s="13" customFormat="1" x14ac:dyDescent="0.15">
      <c r="A21" s="12" t="s">
        <v>131</v>
      </c>
      <c r="B21" s="13" t="s">
        <v>90</v>
      </c>
      <c r="C21" s="13" t="s">
        <v>113</v>
      </c>
    </row>
    <row r="22" spans="1:3" s="13" customFormat="1" x14ac:dyDescent="0.15">
      <c r="A22" s="12" t="s">
        <v>131</v>
      </c>
      <c r="B22" s="13" t="s">
        <v>92</v>
      </c>
      <c r="C22" s="13" t="s">
        <v>93</v>
      </c>
    </row>
    <row r="23" spans="1:3" s="13" customFormat="1" x14ac:dyDescent="0.15">
      <c r="A23" s="12" t="s">
        <v>131</v>
      </c>
      <c r="B23" s="13" t="s">
        <v>84</v>
      </c>
      <c r="C23" s="13" t="s">
        <v>118</v>
      </c>
    </row>
    <row r="24" spans="1:3" s="13" customFormat="1" x14ac:dyDescent="0.15">
      <c r="A24" s="12" t="s">
        <v>131</v>
      </c>
      <c r="B24" s="13" t="s">
        <v>88</v>
      </c>
      <c r="C24" s="13" t="s">
        <v>118</v>
      </c>
    </row>
    <row r="25" spans="1:3" s="13" customFormat="1" x14ac:dyDescent="0.15">
      <c r="A25" s="12" t="s">
        <v>131</v>
      </c>
      <c r="B25" s="13" t="s">
        <v>119</v>
      </c>
      <c r="C25" s="13" t="s">
        <v>118</v>
      </c>
    </row>
    <row r="26" spans="1:3" s="13" customFormat="1" x14ac:dyDescent="0.15">
      <c r="A26" s="12" t="s">
        <v>131</v>
      </c>
      <c r="B26" s="13" t="s">
        <v>94</v>
      </c>
      <c r="C26" s="13" t="s">
        <v>118</v>
      </c>
    </row>
    <row r="27" spans="1:3" s="13" customFormat="1" x14ac:dyDescent="0.15">
      <c r="A27" s="12" t="s">
        <v>131</v>
      </c>
      <c r="B27" s="13" t="s">
        <v>120</v>
      </c>
      <c r="C27" s="13" t="s">
        <v>121</v>
      </c>
    </row>
    <row r="28" spans="1:3" s="13" customFormat="1" x14ac:dyDescent="0.15">
      <c r="A28" s="12" t="s">
        <v>131</v>
      </c>
      <c r="B28" s="13" t="s">
        <v>122</v>
      </c>
      <c r="C28" s="13" t="s">
        <v>121</v>
      </c>
    </row>
    <row r="29" spans="1:3" s="13" customFormat="1" x14ac:dyDescent="0.15">
      <c r="A29" s="12" t="s">
        <v>131</v>
      </c>
      <c r="B29" s="13" t="s">
        <v>123</v>
      </c>
      <c r="C29" s="13" t="s">
        <v>121</v>
      </c>
    </row>
    <row r="30" spans="1:3" s="13" customFormat="1" x14ac:dyDescent="0.15">
      <c r="A30" s="12" t="s">
        <v>131</v>
      </c>
      <c r="B30" s="13" t="s">
        <v>124</v>
      </c>
      <c r="C30" s="13" t="s">
        <v>121</v>
      </c>
    </row>
    <row r="31" spans="1:3" s="13" customFormat="1" x14ac:dyDescent="0.15">
      <c r="A31" s="12" t="s">
        <v>131</v>
      </c>
      <c r="B31" s="13" t="s">
        <v>85</v>
      </c>
      <c r="C31" s="13" t="s">
        <v>125</v>
      </c>
    </row>
    <row r="32" spans="1:3" s="13" customFormat="1" x14ac:dyDescent="0.15">
      <c r="A32" s="12" t="s">
        <v>131</v>
      </c>
      <c r="B32" s="13" t="s">
        <v>89</v>
      </c>
      <c r="C32" s="13" t="s">
        <v>125</v>
      </c>
    </row>
    <row r="33" spans="1:3" s="13" customFormat="1" x14ac:dyDescent="0.15">
      <c r="A33" s="12" t="s">
        <v>131</v>
      </c>
      <c r="B33" s="13" t="s">
        <v>91</v>
      </c>
      <c r="C33" s="13" t="s">
        <v>125</v>
      </c>
    </row>
    <row r="34" spans="1:3" s="13" customFormat="1" x14ac:dyDescent="0.15">
      <c r="A34" s="12" t="s">
        <v>131</v>
      </c>
      <c r="B34" s="13" t="s">
        <v>95</v>
      </c>
      <c r="C34" s="13" t="s">
        <v>125</v>
      </c>
    </row>
    <row r="35" spans="1:3" s="13" customFormat="1" x14ac:dyDescent="0.15">
      <c r="A35" s="12" t="s">
        <v>131</v>
      </c>
      <c r="B35" s="13" t="s">
        <v>126</v>
      </c>
      <c r="C35" s="13" t="s">
        <v>127</v>
      </c>
    </row>
    <row r="36" spans="1:3" s="13" customFormat="1" x14ac:dyDescent="0.15">
      <c r="A36" s="12" t="s">
        <v>131</v>
      </c>
      <c r="B36" s="13" t="s">
        <v>128</v>
      </c>
      <c r="C36" s="13" t="s">
        <v>129</v>
      </c>
    </row>
  </sheetData>
  <phoneticPr fontId="7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358C7-00B2-480A-9080-3ECA40DF8AB9}">
  <sheetPr>
    <tabColor theme="2"/>
  </sheetPr>
  <dimension ref="A1:O10"/>
  <sheetViews>
    <sheetView tabSelected="1" workbookViewId="0">
      <selection activeCell="K18" sqref="K18"/>
    </sheetView>
  </sheetViews>
  <sheetFormatPr defaultRowHeight="13.5" x14ac:dyDescent="0.15"/>
  <cols>
    <col min="5" max="5" width="21.625" bestFit="1" customWidth="1"/>
  </cols>
  <sheetData>
    <row r="1" spans="1:15" ht="14.25" x14ac:dyDescent="0.15">
      <c r="A1" s="31" t="s">
        <v>462</v>
      </c>
      <c r="B1" s="32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14" customFormat="1" x14ac:dyDescent="0.15">
      <c r="A2" s="31" t="s">
        <v>74</v>
      </c>
      <c r="B2" s="15" t="s">
        <v>133</v>
      </c>
      <c r="C2" s="10" t="s">
        <v>79</v>
      </c>
      <c r="D2" s="10" t="s">
        <v>463</v>
      </c>
      <c r="E2" s="10" t="s">
        <v>464</v>
      </c>
      <c r="F2" s="10" t="s">
        <v>465</v>
      </c>
      <c r="G2" s="9"/>
    </row>
    <row r="3" spans="1:15" s="14" customFormat="1" x14ac:dyDescent="0.15">
      <c r="B3" s="16" t="s">
        <v>165</v>
      </c>
      <c r="C3" s="11" t="s">
        <v>75</v>
      </c>
      <c r="D3" s="11" t="s">
        <v>80</v>
      </c>
      <c r="E3" s="11" t="s">
        <v>80</v>
      </c>
      <c r="F3" s="16" t="s">
        <v>80</v>
      </c>
      <c r="G3" s="9"/>
    </row>
    <row r="4" spans="1:15" s="14" customFormat="1" x14ac:dyDescent="0.15">
      <c r="A4" s="31"/>
      <c r="B4" s="18" t="s">
        <v>76</v>
      </c>
      <c r="C4" s="8" t="s">
        <v>75</v>
      </c>
      <c r="D4" s="8" t="s">
        <v>76</v>
      </c>
      <c r="E4" s="8" t="s">
        <v>76</v>
      </c>
      <c r="F4" s="18" t="s">
        <v>76</v>
      </c>
      <c r="G4" s="9"/>
    </row>
    <row r="5" spans="1:15" s="14" customFormat="1" x14ac:dyDescent="0.15">
      <c r="A5" s="31"/>
      <c r="B5" s="16" t="s">
        <v>168</v>
      </c>
      <c r="C5" s="11" t="s">
        <v>75</v>
      </c>
      <c r="D5" s="11" t="s">
        <v>466</v>
      </c>
      <c r="E5" s="11" t="s">
        <v>467</v>
      </c>
      <c r="F5" s="16" t="s">
        <v>468</v>
      </c>
      <c r="G5" s="9"/>
    </row>
    <row r="6" spans="1:15" s="14" customFormat="1" x14ac:dyDescent="0.15">
      <c r="A6" s="31"/>
      <c r="B6" s="18" t="s">
        <v>77</v>
      </c>
      <c r="C6" s="8"/>
      <c r="D6" s="8"/>
      <c r="E6" s="8"/>
      <c r="F6" s="18"/>
      <c r="G6" s="9"/>
    </row>
    <row r="7" spans="1:15" s="9" customFormat="1" x14ac:dyDescent="0.15">
      <c r="A7" t="s">
        <v>131</v>
      </c>
      <c r="B7" s="9" t="s">
        <v>469</v>
      </c>
      <c r="C7" s="9" t="s">
        <v>83</v>
      </c>
      <c r="D7" s="9" t="s">
        <v>470</v>
      </c>
      <c r="E7" s="9" t="s">
        <v>471</v>
      </c>
      <c r="F7" s="9" t="s">
        <v>472</v>
      </c>
    </row>
    <row r="8" spans="1:15" s="9" customFormat="1" x14ac:dyDescent="0.15">
      <c r="A8" t="s">
        <v>131</v>
      </c>
      <c r="B8" s="9" t="s">
        <v>382</v>
      </c>
      <c r="C8" s="9" t="s">
        <v>87</v>
      </c>
      <c r="D8" s="9" t="s">
        <v>473</v>
      </c>
      <c r="E8" s="9" t="s">
        <v>474</v>
      </c>
      <c r="F8" s="9" t="s">
        <v>475</v>
      </c>
    </row>
    <row r="9" spans="1:15" s="9" customFormat="1" x14ac:dyDescent="0.15">
      <c r="A9" t="s">
        <v>131</v>
      </c>
      <c r="B9" s="9" t="s">
        <v>391</v>
      </c>
      <c r="C9" s="9" t="s">
        <v>113</v>
      </c>
      <c r="D9" s="9" t="s">
        <v>280</v>
      </c>
      <c r="E9" s="9" t="s">
        <v>476</v>
      </c>
      <c r="F9" s="9" t="s">
        <v>477</v>
      </c>
    </row>
    <row r="10" spans="1:15" s="9" customFormat="1" x14ac:dyDescent="0.15">
      <c r="A10" t="s">
        <v>131</v>
      </c>
      <c r="B10" s="9" t="s">
        <v>397</v>
      </c>
      <c r="C10" s="9" t="s">
        <v>93</v>
      </c>
      <c r="D10" s="9" t="s">
        <v>478</v>
      </c>
      <c r="E10" s="9" t="s">
        <v>479</v>
      </c>
      <c r="F10" s="9" t="s">
        <v>480</v>
      </c>
    </row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$备注</vt:lpstr>
      <vt:lpstr>HeroAttrConfig</vt:lpstr>
      <vt:lpstr>HeroAwaken</vt:lpstr>
      <vt:lpstr>HeroBase</vt:lpstr>
      <vt:lpstr>ItemConfig</vt:lpstr>
      <vt:lpstr>Translate</vt:lpstr>
      <vt:lpstr>RoleModel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2022-06-23T03:55:29Z</dcterms:modified>
</cp:coreProperties>
</file>